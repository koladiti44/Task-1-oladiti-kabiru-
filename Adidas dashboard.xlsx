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16B02224-DAEB-4A46-9A4C-A4619F56B4C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shboard" sheetId="1" r:id="rId1"/>
    <sheet name="Data &amp; Assumptions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2" l="1"/>
  <c r="B42" i="2"/>
  <c r="C42" i="2"/>
  <c r="B29" i="2"/>
  <c r="B23" i="2"/>
  <c r="B14" i="2"/>
  <c r="B15" i="2"/>
  <c r="C15" i="2"/>
  <c r="C14" i="2"/>
  <c r="C13" i="2"/>
  <c r="J6" i="1"/>
  <c r="H6" i="1"/>
  <c r="F6" i="1"/>
  <c r="D6" i="1"/>
  <c r="B6" i="1"/>
</calcChain>
</file>

<file path=xl/sharedStrings.xml><?xml version="1.0" encoding="utf-8"?>
<sst xmlns="http://schemas.openxmlformats.org/spreadsheetml/2006/main" count="129" uniqueCount="87">
  <si>
    <t>ADIDAS — SALES &amp; PROFITABILITY DASHBOARD</t>
  </si>
  <si>
    <t>Executive Summary  |  Jan 2020 – Dec 2021  |  6 Retailers · 5 Regions · 6 Categories · 3 Channels</t>
  </si>
  <si>
    <t>TOTAL SALES</t>
  </si>
  <si>
    <t>TOTAL PROFIT</t>
  </si>
  <si>
    <t>AVG MARGIN</t>
  </si>
  <si>
    <t>UNITS SOLD</t>
  </si>
  <si>
    <t>SALES GROWTH '20→'21</t>
  </si>
  <si>
    <t>Revenue by Category Segment ($M)</t>
  </si>
  <si>
    <t>Retailer Revenue Share (%)</t>
  </si>
  <si>
    <t>Region Revenue Share (%)</t>
  </si>
  <si>
    <t>Annual Sales Trend ($M)</t>
  </si>
  <si>
    <t>Channel Performance — Key Signal</t>
  </si>
  <si>
    <t>In-Store leads revenue (39.6%), but Online delivers the best margin (46.0%) and the highest unit volume — a signal to shift incremental investment toward Online. Top 4 states (NY, CA, FL, TX) drive ~25% of total sales.</t>
  </si>
  <si>
    <t>Channel</t>
  </si>
  <si>
    <t>Revenue Share</t>
  </si>
  <si>
    <t>Margin</t>
  </si>
  <si>
    <t>Notes</t>
  </si>
  <si>
    <t>In-Store</t>
  </si>
  <si>
    <t>n/a</t>
  </si>
  <si>
    <t>Leads revenue</t>
  </si>
  <si>
    <t>Online</t>
  </si>
  <si>
    <t>Best margin; most units sold</t>
  </si>
  <si>
    <t>Wholesale</t>
  </si>
  <si>
    <t>Not disclosed in summary</t>
  </si>
  <si>
    <t>Recommendation Focus Areas (see full analytical report for detail)</t>
  </si>
  <si>
    <t>Product Strategy</t>
  </si>
  <si>
    <t>Channel Optimization</t>
  </si>
  <si>
    <t>Regional Focus</t>
  </si>
  <si>
    <t>Demand Forecasting</t>
  </si>
  <si>
    <t>Retailer Management</t>
  </si>
  <si>
    <t>Adidas Sales &amp; Profitability Analysis — Source Data</t>
  </si>
  <si>
    <t>Dataset: 9,648 rows | Jan 2020–Dec 2021 | 6 retailers, 5 regions, 6 categories, 3 channels</t>
  </si>
  <si>
    <t>Headline KPIs (as reported)</t>
  </si>
  <si>
    <t>Metric</t>
  </si>
  <si>
    <t>Value</t>
  </si>
  <si>
    <t>Source</t>
  </si>
  <si>
    <t>Total Sales ($M)</t>
  </si>
  <si>
    <t>Executive summary</t>
  </si>
  <si>
    <t>Total Profit ($M)</t>
  </si>
  <si>
    <t>Average Margin (%)</t>
  </si>
  <si>
    <t>Total Units Sold (M)</t>
  </si>
  <si>
    <t>Category Revenue Mix (calculated from disclosed shares)</t>
  </si>
  <si>
    <t>Segment</t>
  </si>
  <si>
    <t>Revenue ($M)</t>
  </si>
  <si>
    <t>Share of Total</t>
  </si>
  <si>
    <t>Source / Calculation</t>
  </si>
  <si>
    <t>Men's Street Footwear</t>
  </si>
  <si>
    <t>Executive summary (named category leader)</t>
  </si>
  <si>
    <t>Other Footwear (calc.)</t>
  </si>
  <si>
    <t>Calc: footwear ≈66% of revenue (summary) minus Men's Street Footwear</t>
  </si>
  <si>
    <t>Non-Footwear categories (calc.)</t>
  </si>
  <si>
    <t>Calc: remainder after total footwear (≈66%)</t>
  </si>
  <si>
    <t>Retailer Revenue Share (named retailers per summary; remainder calculated)</t>
  </si>
  <si>
    <t>Retailer</t>
  </si>
  <si>
    <t>West Gear</t>
  </si>
  <si>
    <t>Foot Locker</t>
  </si>
  <si>
    <t>Walmart (weakest)</t>
  </si>
  <si>
    <t>Sports Direct</t>
  </si>
  <si>
    <t>Executive summary (best margin retailer; share not disclosed)</t>
  </si>
  <si>
    <t>Other retailers (2 undisclosed, calc.)</t>
  </si>
  <si>
    <t>Calc: remainder of 100% after West Gear, Foot Locker, Walmart (incl. Sports Direct)</t>
  </si>
  <si>
    <t>Region Revenue Share (named regions per summary; remainder calculated)</t>
  </si>
  <si>
    <t>Region</t>
  </si>
  <si>
    <t>West</t>
  </si>
  <si>
    <t>Midwest (lowest)</t>
  </si>
  <si>
    <t>Other regions (3 undisclosed, calc.)</t>
  </si>
  <si>
    <t>Calc: remainder of 100% after West, Midwest</t>
  </si>
  <si>
    <t>Top 4 states (NY, CA, FL, TX) combined</t>
  </si>
  <si>
    <t>Channel Performance (only disclosed metrics shown)</t>
  </si>
  <si>
    <t>Other</t>
  </si>
  <si>
    <t>—</t>
  </si>
  <si>
    <t>Annual Sales Trend (calculated from total sales + stated YoY growth)</t>
  </si>
  <si>
    <t>Year</t>
  </si>
  <si>
    <t>Sales ($M)</t>
  </si>
  <si>
    <t>YoY Growth</t>
  </si>
  <si>
    <t>Growth rate input (2020→2021)</t>
  </si>
  <si>
    <t>Input — Executive summary: '~294% growth 2020→2021'</t>
  </si>
  <si>
    <t>2020</t>
  </si>
  <si>
    <t>baseline</t>
  </si>
  <si>
    <t>Calc: total 2-yr sales split using stated growth rate</t>
  </si>
  <si>
    <t>2021</t>
  </si>
  <si>
    <t>Calc: remainder of total sales; peaked Q3 2021, slight Q4 dip (qualitative, per summary)</t>
  </si>
  <si>
    <t>Notes &amp; Limitations</t>
  </si>
  <si>
    <t>• All figures on this workbook are transcribed or calculated directly from the executive summary provided by the user; the underlying 9,648-row dataset was not supplied to this workbook.</t>
  </si>
  <si>
    <t>• Rows marked '(calc.)' are arithmetic derivations from the disclosed aggregates (e.g., remainders to 100%, or splitting a 2-year total using a stated growth rate) — not independently sourced figures.</t>
  </si>
  <si>
    <t>• Cells marked 'n/a' or 'Not disclosed' reflect metrics the summary did not provide (e.g., individual shares for 2 of 6 retailers, 3 of 5 regions, and the Online/Wholesale revenue split).</t>
  </si>
  <si>
    <t>• For the full category, retailer, region, and quarterly breakdowns, refer to the complete analytical report referenced in the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</si>
</sst>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\M"/>
    <numFmt numFmtId="165" formatCode="0.0%"/>
    <numFmt numFmtId="166" formatCode="#,##0.00\M"/>
    <numFmt numFmtId="167" formatCode="#,##0.0"/>
  </numFmts>
  <fonts count="17" x14ac:knownFonts="1">
    <font>
      <sz val="11"/>
      <color theme="1"/>
      <name val="Calibri"/>
      <family val="2"/>
      <charset val="1"/>
    </font>
    <font>
      <b/>
      <sz val="20"/>
      <color rgb="FF1F2A44"/>
      <name val="Arial"/>
      <charset val="1"/>
    </font>
    <font>
      <i/>
      <sz val="11"/>
      <color rgb="FF6E7480"/>
      <name val="Arial"/>
      <charset val="1"/>
    </font>
    <font>
      <b/>
      <sz val="10"/>
      <color rgb="FFFFFFFF"/>
      <name val="Arial"/>
      <charset val="1"/>
    </font>
    <font>
      <b/>
      <sz val="24"/>
      <color rgb="FFFFFFFF"/>
      <name val="Arial"/>
      <charset val="1"/>
    </font>
    <font>
      <b/>
      <sz val="12"/>
      <color rgb="FF1F2A44"/>
      <name val="Arial"/>
      <charset val="1"/>
    </font>
    <font>
      <sz val="11"/>
      <color rgb="FF1A1A1A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b/>
      <sz val="9"/>
      <color rgb="FFFFFFFF"/>
      <name val="Arial"/>
      <charset val="1"/>
    </font>
    <font>
      <b/>
      <sz val="14"/>
      <color rgb="FF1F2A44"/>
      <name val="Arial"/>
      <charset val="1"/>
    </font>
    <font>
      <i/>
      <sz val="10"/>
      <color rgb="FF6E7480"/>
      <name val="Arial"/>
      <charset val="1"/>
    </font>
    <font>
      <b/>
      <sz val="12"/>
      <color rgb="FFFFFFFF"/>
      <name val="Arial"/>
      <charset val="1"/>
    </font>
    <font>
      <i/>
      <sz val="9"/>
      <color rgb="FF6E7480"/>
      <name val="Arial"/>
      <charset val="1"/>
    </font>
    <font>
      <sz val="9"/>
      <color rgb="FF6E7480"/>
      <name val="Arial"/>
      <charset val="1"/>
    </font>
    <font>
      <sz val="9"/>
      <color rgb="FF1A1A1A"/>
      <name val="Arial"/>
      <charset val="1"/>
    </font>
    <font>
      <sz val="10"/>
      <color rgb="FF0000FF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E5AAC"/>
        <bgColor rgb="FF3366FF"/>
      </patternFill>
    </fill>
    <fill>
      <patternFill patternType="solid">
        <fgColor rgb="FF1E8A82"/>
        <bgColor rgb="FF008080"/>
      </patternFill>
    </fill>
    <fill>
      <patternFill patternType="solid">
        <fgColor rgb="FFC9A227"/>
        <bgColor rgb="FF99CC00"/>
      </patternFill>
    </fill>
    <fill>
      <patternFill patternType="solid">
        <fgColor rgb="FF1F2A44"/>
        <bgColor rgb="FF1A1A1A"/>
      </patternFill>
    </fill>
    <fill>
      <patternFill patternType="solid">
        <fgColor rgb="FFB23A3A"/>
        <bgColor rgb="FF993366"/>
      </patternFill>
    </fill>
    <fill>
      <patternFill patternType="solid">
        <fgColor rgb="FFDCE6F5"/>
        <bgColor rgb="FFD9D9D9"/>
      </patternFill>
    </fill>
  </fills>
  <borders count="2">
    <border>
      <left/>
      <right/>
      <top/>
      <bottom/>
      <diagonal/>
    </border>
    <border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0" xfId="0" applyFont="1"/>
    <xf numFmtId="0" fontId="3" fillId="5" borderId="1" xfId="0" applyFont="1" applyFill="1" applyBorder="1"/>
    <xf numFmtId="0" fontId="7" fillId="0" borderId="1" xfId="0" applyFont="1" applyBorder="1"/>
    <xf numFmtId="165" fontId="0" fillId="0" borderId="1" xfId="0" applyNumberFormat="1" applyBorder="1"/>
    <xf numFmtId="0" fontId="0" fillId="0" borderId="1" xfId="0" applyFont="1" applyBorder="1"/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12" fillId="5" borderId="0" xfId="0" applyFont="1" applyFill="1"/>
    <xf numFmtId="0" fontId="0" fillId="5" borderId="0" xfId="0" applyFill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167" fontId="8" fillId="0" borderId="1" xfId="0" applyNumberFormat="1" applyFont="1" applyBorder="1"/>
    <xf numFmtId="0" fontId="13" fillId="0" borderId="1" xfId="0" applyFont="1" applyBorder="1"/>
    <xf numFmtId="165" fontId="8" fillId="0" borderId="1" xfId="0" applyNumberFormat="1" applyFont="1" applyBorder="1"/>
    <xf numFmtId="167" fontId="0" fillId="0" borderId="1" xfId="0" applyNumberFormat="1" applyBorder="1"/>
    <xf numFmtId="0" fontId="14" fillId="0" borderId="1" xfId="0" applyFont="1" applyBorder="1"/>
    <xf numFmtId="0" fontId="15" fillId="0" borderId="1" xfId="0" applyFont="1" applyBorder="1"/>
    <xf numFmtId="9" fontId="16" fillId="0" borderId="1" xfId="0" applyNumberFormat="1" applyFont="1" applyBorder="1"/>
    <xf numFmtId="0" fontId="6" fillId="7" borderId="1" xfId="0" applyFont="1" applyFill="1" applyBorder="1" applyAlignment="1">
      <alignment vertical="top" wrapText="1"/>
    </xf>
    <xf numFmtId="0" fontId="9" fillId="2" borderId="0" xfId="0" applyFont="1" applyFill="1" applyBorder="1" applyAlignment="1">
      <alignment horizontal="center" vertical="center" wrapText="1"/>
    </xf>
    <xf numFmtId="164" fontId="4" fillId="2" borderId="0" xfId="0" applyNumberFormat="1" applyFont="1" applyFill="1" applyBorder="1" applyAlignment="1">
      <alignment horizontal="center" vertical="center"/>
    </xf>
    <xf numFmtId="164" fontId="4" fillId="3" borderId="0" xfId="0" applyNumberFormat="1" applyFont="1" applyFill="1" applyBorder="1" applyAlignment="1">
      <alignment horizontal="center" vertical="center"/>
    </xf>
    <xf numFmtId="165" fontId="4" fillId="4" borderId="0" xfId="0" applyNumberFormat="1" applyFont="1" applyFill="1" applyBorder="1" applyAlignment="1">
      <alignment horizontal="center" vertical="center"/>
    </xf>
    <xf numFmtId="166" fontId="4" fillId="5" borderId="0" xfId="0" applyNumberFormat="1" applyFont="1" applyFill="1" applyBorder="1" applyAlignment="1">
      <alignment horizontal="center" vertical="center"/>
    </xf>
    <xf numFmtId="165" fontId="4" fillId="6" borderId="0" xfId="0" applyNumberFormat="1" applyFont="1" applyFill="1" applyBorder="1" applyAlignment="1">
      <alignment horizontal="center" vertical="center"/>
    </xf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14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A82"/>
      <rgbColor rgb="FFC9CDD3"/>
      <rgbColor rgb="FF878787"/>
      <rgbColor rgb="FF9999FF"/>
      <rgbColor rgb="FFB23A3A"/>
      <rgbColor rgb="FFF9F9F9"/>
      <rgbColor rgb="FFDCE6F5"/>
      <rgbColor rgb="FF660066"/>
      <rgbColor rgb="FFFF8080"/>
      <rgbColor rgb="FF2E5AA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6E7480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5AA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&amp; Assumptions'!$A$13:$A$15</c:f>
              <c:strCache>
                <c:ptCount val="3"/>
                <c:pt idx="0">
                  <c:v>Men's Street Footwear</c:v>
                </c:pt>
                <c:pt idx="1">
                  <c:v>Other Footwear (calc.)</c:v>
                </c:pt>
                <c:pt idx="2">
                  <c:v>Non-Footwear categories (calc.)</c:v>
                </c:pt>
              </c:strCache>
            </c:strRef>
          </c:cat>
          <c:val>
            <c:numRef>
              <c:f>'Data &amp; Assumptions'!$B$13:$B$15</c:f>
              <c:numCache>
                <c:formatCode>#,##0.0</c:formatCode>
                <c:ptCount val="3"/>
                <c:pt idx="0">
                  <c:v>208.8</c:v>
                </c:pt>
                <c:pt idx="1">
                  <c:v>385.13399999999996</c:v>
                </c:pt>
                <c:pt idx="2">
                  <c:v>305.96599999999995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EE-5F49-8156-A270F0DA2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281728"/>
        <c:axId val="38995786"/>
      </c:barChart>
      <c:catAx>
        <c:axId val="5428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95786"/>
        <c:crosses val="autoZero"/>
        <c:auto val="1"/>
        <c:lblAlgn val="ctr"/>
        <c:lblOffset val="100"/>
        <c:noMultiLvlLbl val="0"/>
      </c:catAx>
      <c:valAx>
        <c:axId val="38995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Revenue ($M)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2817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E8A8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&amp; Assumptions'!$A$19:$A$23</c:f>
              <c:strCache>
                <c:ptCount val="5"/>
                <c:pt idx="0">
                  <c:v>West Gear</c:v>
                </c:pt>
                <c:pt idx="1">
                  <c:v>Foot Locker</c:v>
                </c:pt>
                <c:pt idx="2">
                  <c:v>Walmart (weakest)</c:v>
                </c:pt>
                <c:pt idx="3">
                  <c:v>Sports Direct</c:v>
                </c:pt>
                <c:pt idx="4">
                  <c:v>Other retailers (2 undisclosed, calc.)</c:v>
                </c:pt>
              </c:strCache>
            </c:strRef>
          </c:cat>
          <c:val>
            <c:numRef>
              <c:f>'Data &amp; Assumptions'!$B$19:$B$23</c:f>
              <c:numCache>
                <c:formatCode>0.0%</c:formatCode>
                <c:ptCount val="5"/>
                <c:pt idx="0">
                  <c:v>0.27</c:v>
                </c:pt>
                <c:pt idx="1">
                  <c:v>0.245</c:v>
                </c:pt>
                <c:pt idx="2">
                  <c:v>8.3000000000000004E-2</c:v>
                </c:pt>
                <c:pt idx="3" formatCode="General">
                  <c:v>0</c:v>
                </c:pt>
                <c:pt idx="4">
                  <c:v>0.40199999999999997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D-934B-99D3-4F776DCBB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57398"/>
        <c:axId val="84876397"/>
      </c:barChart>
      <c:catAx>
        <c:axId val="780573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876397"/>
        <c:crosses val="autoZero"/>
        <c:auto val="1"/>
        <c:lblAlgn val="ctr"/>
        <c:lblOffset val="100"/>
        <c:noMultiLvlLbl val="0"/>
      </c:catAx>
      <c:valAx>
        <c:axId val="848763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0573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9A22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&amp; Assumptions'!$A$27:$A$29</c:f>
              <c:strCache>
                <c:ptCount val="3"/>
                <c:pt idx="0">
                  <c:v>West</c:v>
                </c:pt>
                <c:pt idx="1">
                  <c:v>Midwest (lowest)</c:v>
                </c:pt>
                <c:pt idx="2">
                  <c:v>Other regions (3 undisclosed, calc.)</c:v>
                </c:pt>
              </c:strCache>
            </c:strRef>
          </c:cat>
          <c:val>
            <c:numRef>
              <c:f>'Data &amp; Assumptions'!$B$27:$B$29</c:f>
              <c:numCache>
                <c:formatCode>0.0%</c:formatCode>
                <c:ptCount val="3"/>
                <c:pt idx="0">
                  <c:v>0.3</c:v>
                </c:pt>
                <c:pt idx="1">
                  <c:v>0.151</c:v>
                </c:pt>
                <c:pt idx="2">
                  <c:v>0.54899999999999993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5-EF4F-8EBC-396CE1ACC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877094"/>
        <c:axId val="97484536"/>
      </c:barChart>
      <c:catAx>
        <c:axId val="488770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7484536"/>
        <c:crosses val="autoZero"/>
        <c:auto val="1"/>
        <c:lblAlgn val="ctr"/>
        <c:lblOffset val="100"/>
        <c:noMultiLvlLbl val="0"/>
      </c:catAx>
      <c:valAx>
        <c:axId val="97484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8770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9880">
              <a:solidFill>
                <a:srgbClr val="B23A3A"/>
              </a:solidFill>
              <a:round/>
            </a:ln>
          </c:spPr>
          <c:marker>
            <c:symbol val="circle"/>
            <c:size val="8"/>
            <c:spPr>
              <a:solidFill>
                <a:srgbClr val="B23A3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'Data &amp; Assumptions'!$A$41:$A$42</c:f>
              <c:strCache>
                <c:ptCount val="2"/>
                <c:pt idx="0">
                  <c:v>2020</c:v>
                </c:pt>
                <c:pt idx="1">
                  <c:v>2021</c:v>
                </c:pt>
              </c:strCache>
            </c:strRef>
          </c:cat>
          <c:val>
            <c:numRef>
              <c:f>'Data &amp; Assumptions'!$B$41:$B$42</c:f>
              <c:numCache>
                <c:formatCode>#,##0.0</c:formatCode>
                <c:ptCount val="2"/>
                <c:pt idx="0">
                  <c:v>182.16599190283401</c:v>
                </c:pt>
                <c:pt idx="1">
                  <c:v>717.734008097166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FB-8946-97E0-B9AFD303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7309391"/>
        <c:axId val="60388755"/>
      </c:lineChart>
      <c:catAx>
        <c:axId val="2730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388755"/>
        <c:crosses val="autoZero"/>
        <c:auto val="1"/>
        <c:lblAlgn val="ctr"/>
        <c:lblOffset val="100"/>
        <c:noMultiLvlLbl val="0"/>
      </c:catAx>
      <c:valAx>
        <c:axId val="603887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3093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6</xdr:col>
      <xdr:colOff>113040</xdr:colOff>
      <xdr:row>25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10</xdr:col>
      <xdr:colOff>113400</xdr:colOff>
      <xdr:row>25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0</xdr:rowOff>
    </xdr:from>
    <xdr:to>
      <xdr:col>6</xdr:col>
      <xdr:colOff>113040</xdr:colOff>
      <xdr:row>42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27</xdr:row>
      <xdr:rowOff>0</xdr:rowOff>
    </xdr:from>
    <xdr:to>
      <xdr:col>10</xdr:col>
      <xdr:colOff>113400</xdr:colOff>
      <xdr:row>42</xdr:row>
      <xdr:rowOff>22320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showGridLines="0" tabSelected="1" topLeftCell="A11" zoomScale="90" zoomScaleNormal="90" workbookViewId="0"/>
  </sheetViews>
  <sheetFormatPr defaultColWidth="8.7421875" defaultRowHeight="15" x14ac:dyDescent="0.2"/>
  <cols>
    <col min="1" max="1" width="2.95703125" customWidth="1"/>
    <col min="2" max="11" width="14.9296875" customWidth="1"/>
    <col min="12" max="12" width="2.95703125" customWidth="1"/>
  </cols>
  <sheetData>
    <row r="2" spans="2:11" ht="30" customHeight="1" x14ac:dyDescent="0.3">
      <c r="B2" s="27" t="s">
        <v>0</v>
      </c>
      <c r="C2" s="27"/>
      <c r="D2" s="27"/>
      <c r="E2" s="27"/>
      <c r="F2" s="27"/>
      <c r="G2" s="27"/>
      <c r="H2" s="27"/>
      <c r="I2" s="27"/>
      <c r="J2" s="27"/>
      <c r="K2" s="27"/>
    </row>
    <row r="3" spans="2:11" ht="18" customHeight="1" x14ac:dyDescent="0.2">
      <c r="B3" s="28" t="s">
        <v>1</v>
      </c>
      <c r="C3" s="28"/>
      <c r="D3" s="28"/>
      <c r="E3" s="28"/>
      <c r="F3" s="28"/>
      <c r="G3" s="28"/>
      <c r="H3" s="28"/>
      <c r="I3" s="28"/>
      <c r="J3" s="28"/>
      <c r="K3" s="28"/>
    </row>
    <row r="5" spans="2:11" x14ac:dyDescent="0.2">
      <c r="B5" s="29" t="s">
        <v>2</v>
      </c>
      <c r="C5" s="29"/>
      <c r="D5" s="30" t="s">
        <v>3</v>
      </c>
      <c r="E5" s="30"/>
      <c r="F5" s="31" t="s">
        <v>4</v>
      </c>
      <c r="G5" s="31"/>
      <c r="H5" s="32" t="s">
        <v>5</v>
      </c>
      <c r="I5" s="32"/>
      <c r="J5" s="33" t="s">
        <v>6</v>
      </c>
      <c r="K5" s="33"/>
    </row>
    <row r="6" spans="2:11" x14ac:dyDescent="0.2">
      <c r="B6" s="22">
        <f>'Data &amp; Assumptions'!$B$6</f>
        <v>899.9</v>
      </c>
      <c r="C6" s="22"/>
      <c r="D6" s="23">
        <f>'Data &amp; Assumptions'!$B$7</f>
        <v>332.1</v>
      </c>
      <c r="E6" s="23"/>
      <c r="F6" s="24">
        <f>'Data &amp; Assumptions'!$B$8</f>
        <v>0.42299999999999999</v>
      </c>
      <c r="G6" s="24"/>
      <c r="H6" s="25">
        <f>'Data &amp; Assumptions'!$B$9</f>
        <v>2.48</v>
      </c>
      <c r="I6" s="25"/>
      <c r="J6" s="26">
        <f>'Data &amp; Assumptions'!$C$42</f>
        <v>2.94</v>
      </c>
      <c r="K6" s="26"/>
    </row>
    <row r="7" spans="2:11" x14ac:dyDescent="0.2">
      <c r="B7" s="22"/>
      <c r="C7" s="22"/>
      <c r="D7" s="23"/>
      <c r="E7" s="23"/>
      <c r="F7" s="24"/>
      <c r="G7" s="24"/>
      <c r="H7" s="25"/>
      <c r="I7" s="25"/>
      <c r="J7" s="26"/>
      <c r="K7" s="26"/>
    </row>
    <row r="8" spans="2:11" x14ac:dyDescent="0.2">
      <c r="B8" s="22"/>
      <c r="C8" s="22"/>
      <c r="D8" s="23"/>
      <c r="E8" s="23"/>
      <c r="F8" s="24"/>
      <c r="G8" s="24"/>
      <c r="H8" s="25"/>
      <c r="I8" s="25"/>
      <c r="J8" s="26"/>
      <c r="K8" s="26"/>
    </row>
    <row r="10" spans="2:11" x14ac:dyDescent="0.2">
      <c r="B10" s="1" t="s">
        <v>7</v>
      </c>
      <c r="F10" s="1" t="s">
        <v>8</v>
      </c>
    </row>
    <row r="27" spans="2:6" x14ac:dyDescent="0.2">
      <c r="B27" s="1" t="s">
        <v>9</v>
      </c>
      <c r="F27" s="1" t="s">
        <v>10</v>
      </c>
    </row>
    <row r="44" spans="2:11" x14ac:dyDescent="0.2">
      <c r="B44" s="1" t="s">
        <v>11</v>
      </c>
    </row>
    <row r="45" spans="2:11" ht="33.75" customHeight="1" x14ac:dyDescent="0.2">
      <c r="B45" s="20" t="s">
        <v>12</v>
      </c>
      <c r="C45" s="20"/>
      <c r="D45" s="20"/>
      <c r="E45" s="20"/>
      <c r="F45" s="20"/>
      <c r="G45" s="20"/>
      <c r="H45" s="20"/>
      <c r="I45" s="20"/>
      <c r="J45" s="20"/>
      <c r="K45" s="20"/>
    </row>
    <row r="47" spans="2:11" x14ac:dyDescent="0.2">
      <c r="B47" s="2" t="s">
        <v>13</v>
      </c>
      <c r="C47" s="2" t="s">
        <v>14</v>
      </c>
      <c r="D47" s="2" t="s">
        <v>15</v>
      </c>
      <c r="E47" s="2" t="s">
        <v>16</v>
      </c>
    </row>
    <row r="48" spans="2:11" x14ac:dyDescent="0.2">
      <c r="B48" s="3" t="s">
        <v>17</v>
      </c>
      <c r="C48" s="4">
        <v>0.39600000000000002</v>
      </c>
      <c r="D48" s="5" t="s">
        <v>18</v>
      </c>
      <c r="E48" s="6" t="s">
        <v>19</v>
      </c>
    </row>
    <row r="49" spans="2:11" x14ac:dyDescent="0.2">
      <c r="B49" s="3" t="s">
        <v>20</v>
      </c>
      <c r="C49" s="5" t="s">
        <v>18</v>
      </c>
      <c r="D49" s="4">
        <v>0.46</v>
      </c>
      <c r="E49" s="6" t="s">
        <v>21</v>
      </c>
    </row>
    <row r="50" spans="2:11" x14ac:dyDescent="0.2">
      <c r="B50" s="3" t="s">
        <v>22</v>
      </c>
      <c r="C50" s="5" t="s">
        <v>18</v>
      </c>
      <c r="D50" s="5" t="s">
        <v>18</v>
      </c>
      <c r="E50" s="6" t="s">
        <v>23</v>
      </c>
    </row>
    <row r="52" spans="2:11" x14ac:dyDescent="0.2">
      <c r="B52" s="1" t="s">
        <v>24</v>
      </c>
    </row>
    <row r="53" spans="2:11" ht="30" customHeight="1" x14ac:dyDescent="0.2">
      <c r="B53" s="21" t="s">
        <v>25</v>
      </c>
      <c r="C53" s="21"/>
      <c r="D53" s="21" t="s">
        <v>26</v>
      </c>
      <c r="E53" s="21"/>
      <c r="F53" s="21" t="s">
        <v>27</v>
      </c>
      <c r="G53" s="21"/>
      <c r="H53" s="21" t="s">
        <v>28</v>
      </c>
      <c r="I53" s="21"/>
      <c r="J53" s="21" t="s">
        <v>29</v>
      </c>
      <c r="K53" s="21"/>
    </row>
    <row r="54" spans="2:11" x14ac:dyDescent="0.2">
      <c r="H54" s="21"/>
      <c r="I54" s="21"/>
      <c r="J54" s="21"/>
      <c r="K54" s="21"/>
    </row>
  </sheetData>
  <mergeCells count="18">
    <mergeCell ref="B2:K2"/>
    <mergeCell ref="B3:K3"/>
    <mergeCell ref="B5:C5"/>
    <mergeCell ref="D5:E5"/>
    <mergeCell ref="F5:G5"/>
    <mergeCell ref="H5:I5"/>
    <mergeCell ref="J5:K5"/>
    <mergeCell ref="B6:C8"/>
    <mergeCell ref="D6:E8"/>
    <mergeCell ref="F6:G8"/>
    <mergeCell ref="H6:I8"/>
    <mergeCell ref="J6:K8"/>
    <mergeCell ref="B45:K45"/>
    <mergeCell ref="B53:C53"/>
    <mergeCell ref="D53:E53"/>
    <mergeCell ref="F53:G53"/>
    <mergeCell ref="H53:I54"/>
    <mergeCell ref="J53:K5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421875" defaultRowHeight="15" x14ac:dyDescent="0.2"/>
  <cols>
    <col min="1" max="1" width="29.99609375" customWidth="1"/>
    <col min="2" max="4" width="16.0078125" customWidth="1"/>
    <col min="5" max="5" width="39.953125" customWidth="1"/>
    <col min="6" max="7" width="4.03515625" customWidth="1"/>
  </cols>
  <sheetData>
    <row r="1" spans="1:5" ht="18" x14ac:dyDescent="0.2">
      <c r="A1" s="7" t="s">
        <v>30</v>
      </c>
    </row>
    <row r="2" spans="1:5" x14ac:dyDescent="0.2">
      <c r="A2" s="8" t="s">
        <v>31</v>
      </c>
    </row>
    <row r="4" spans="1:5" x14ac:dyDescent="0.2">
      <c r="A4" s="9" t="s">
        <v>32</v>
      </c>
      <c r="B4" s="10"/>
      <c r="C4" s="10"/>
      <c r="D4" s="10"/>
      <c r="E4" s="10"/>
    </row>
    <row r="5" spans="1:5" x14ac:dyDescent="0.2">
      <c r="A5" s="11" t="s">
        <v>33</v>
      </c>
      <c r="B5" s="12" t="s">
        <v>34</v>
      </c>
      <c r="C5" s="12"/>
      <c r="D5" s="12"/>
      <c r="E5" s="12" t="s">
        <v>35</v>
      </c>
    </row>
    <row r="6" spans="1:5" x14ac:dyDescent="0.2">
      <c r="A6" s="3" t="s">
        <v>36</v>
      </c>
      <c r="B6" s="13">
        <v>899.9</v>
      </c>
      <c r="E6" s="14" t="s">
        <v>37</v>
      </c>
    </row>
    <row r="7" spans="1:5" x14ac:dyDescent="0.2">
      <c r="A7" s="3" t="s">
        <v>38</v>
      </c>
      <c r="B7" s="13">
        <v>332.1</v>
      </c>
      <c r="E7" s="14" t="s">
        <v>37</v>
      </c>
    </row>
    <row r="8" spans="1:5" x14ac:dyDescent="0.2">
      <c r="A8" s="3" t="s">
        <v>39</v>
      </c>
      <c r="B8" s="15">
        <v>0.42299999999999999</v>
      </c>
      <c r="E8" s="14" t="s">
        <v>37</v>
      </c>
    </row>
    <row r="9" spans="1:5" x14ac:dyDescent="0.2">
      <c r="A9" s="3" t="s">
        <v>40</v>
      </c>
      <c r="B9" s="13">
        <v>2.48</v>
      </c>
      <c r="E9" s="14" t="s">
        <v>37</v>
      </c>
    </row>
    <row r="11" spans="1:5" x14ac:dyDescent="0.2">
      <c r="A11" s="9" t="s">
        <v>41</v>
      </c>
      <c r="B11" s="10"/>
      <c r="C11" s="10"/>
      <c r="D11" s="10"/>
      <c r="E11" s="10"/>
    </row>
    <row r="12" spans="1:5" x14ac:dyDescent="0.2">
      <c r="A12" s="11" t="s">
        <v>42</v>
      </c>
      <c r="B12" s="12" t="s">
        <v>43</v>
      </c>
      <c r="C12" s="12" t="s">
        <v>44</v>
      </c>
      <c r="D12" s="12" t="s">
        <v>15</v>
      </c>
      <c r="E12" s="12" t="s">
        <v>45</v>
      </c>
    </row>
    <row r="13" spans="1:5" x14ac:dyDescent="0.2">
      <c r="A13" s="6" t="s">
        <v>46</v>
      </c>
      <c r="B13" s="16">
        <v>208.8</v>
      </c>
      <c r="C13" s="4">
        <f>B13/'Data &amp; Assumptions'!$B$6</f>
        <v>0.23202578064229359</v>
      </c>
      <c r="D13" s="4">
        <v>0.44600000000000001</v>
      </c>
      <c r="E13" s="14" t="s">
        <v>47</v>
      </c>
    </row>
    <row r="14" spans="1:5" x14ac:dyDescent="0.2">
      <c r="A14" s="6" t="s">
        <v>48</v>
      </c>
      <c r="B14" s="16">
        <f>(0.66*'Data &amp; Assumptions'!$B$6)-B13</f>
        <v>385.13399999999996</v>
      </c>
      <c r="C14" s="4">
        <f>B14/'Data &amp; Assumptions'!$B$6</f>
        <v>0.42797421935770635</v>
      </c>
      <c r="D14" s="17" t="s">
        <v>18</v>
      </c>
      <c r="E14" s="14" t="s">
        <v>49</v>
      </c>
    </row>
    <row r="15" spans="1:5" x14ac:dyDescent="0.2">
      <c r="A15" s="6" t="s">
        <v>50</v>
      </c>
      <c r="B15" s="16">
        <f>'Data &amp; Assumptions'!$B$6-B13-B14</f>
        <v>305.96599999999995</v>
      </c>
      <c r="C15" s="4">
        <f>B15/'Data &amp; Assumptions'!$B$6</f>
        <v>0.33999999999999997</v>
      </c>
      <c r="D15" s="17" t="s">
        <v>18</v>
      </c>
      <c r="E15" s="14" t="s">
        <v>51</v>
      </c>
    </row>
    <row r="17" spans="1:5" x14ac:dyDescent="0.2">
      <c r="A17" s="9" t="s">
        <v>52</v>
      </c>
      <c r="B17" s="10"/>
      <c r="C17" s="10"/>
      <c r="D17" s="10"/>
      <c r="E17" s="10"/>
    </row>
    <row r="18" spans="1:5" x14ac:dyDescent="0.2">
      <c r="A18" s="11" t="s">
        <v>53</v>
      </c>
      <c r="B18" s="12" t="s">
        <v>14</v>
      </c>
      <c r="C18" s="12"/>
      <c r="D18" s="12" t="s">
        <v>15</v>
      </c>
      <c r="E18" s="12" t="s">
        <v>45</v>
      </c>
    </row>
    <row r="19" spans="1:5" x14ac:dyDescent="0.2">
      <c r="A19" s="6" t="s">
        <v>54</v>
      </c>
      <c r="B19" s="4">
        <v>0.27</v>
      </c>
      <c r="C19" s="5"/>
      <c r="D19" s="17" t="s">
        <v>18</v>
      </c>
      <c r="E19" s="14" t="s">
        <v>37</v>
      </c>
    </row>
    <row r="20" spans="1:5" x14ac:dyDescent="0.2">
      <c r="A20" s="6" t="s">
        <v>55</v>
      </c>
      <c r="B20" s="4">
        <v>0.245</v>
      </c>
      <c r="C20" s="5"/>
      <c r="D20" s="17" t="s">
        <v>18</v>
      </c>
      <c r="E20" s="14" t="s">
        <v>37</v>
      </c>
    </row>
    <row r="21" spans="1:5" x14ac:dyDescent="0.2">
      <c r="A21" s="6" t="s">
        <v>56</v>
      </c>
      <c r="B21" s="4">
        <v>8.3000000000000004E-2</v>
      </c>
      <c r="C21" s="5"/>
      <c r="D21" s="17" t="s">
        <v>18</v>
      </c>
      <c r="E21" s="14" t="s">
        <v>37</v>
      </c>
    </row>
    <row r="22" spans="1:5" x14ac:dyDescent="0.2">
      <c r="A22" s="6" t="s">
        <v>57</v>
      </c>
      <c r="B22" s="17" t="s">
        <v>18</v>
      </c>
      <c r="C22" s="5"/>
      <c r="D22" s="4">
        <v>0.45600000000000002</v>
      </c>
      <c r="E22" s="14" t="s">
        <v>58</v>
      </c>
    </row>
    <row r="23" spans="1:5" x14ac:dyDescent="0.2">
      <c r="A23" s="6" t="s">
        <v>59</v>
      </c>
      <c r="B23" s="4">
        <f>1-B19-B20-B21</f>
        <v>0.40199999999999997</v>
      </c>
      <c r="C23" s="5"/>
      <c r="D23" s="17" t="s">
        <v>18</v>
      </c>
      <c r="E23" s="14" t="s">
        <v>60</v>
      </c>
    </row>
    <row r="25" spans="1:5" x14ac:dyDescent="0.2">
      <c r="A25" s="9" t="s">
        <v>61</v>
      </c>
      <c r="B25" s="10"/>
      <c r="C25" s="10"/>
      <c r="D25" s="10"/>
      <c r="E25" s="10"/>
    </row>
    <row r="26" spans="1:5" x14ac:dyDescent="0.2">
      <c r="A26" s="11" t="s">
        <v>62</v>
      </c>
      <c r="B26" s="12" t="s">
        <v>14</v>
      </c>
      <c r="C26" s="12"/>
      <c r="D26" s="12"/>
      <c r="E26" s="12" t="s">
        <v>45</v>
      </c>
    </row>
    <row r="27" spans="1:5" x14ac:dyDescent="0.2">
      <c r="A27" s="6" t="s">
        <v>63</v>
      </c>
      <c r="B27" s="4">
        <v>0.3</v>
      </c>
      <c r="C27" s="5"/>
      <c r="D27" s="5"/>
      <c r="E27" s="14" t="s">
        <v>37</v>
      </c>
    </row>
    <row r="28" spans="1:5" x14ac:dyDescent="0.2">
      <c r="A28" s="6" t="s">
        <v>64</v>
      </c>
      <c r="B28" s="4">
        <v>0.151</v>
      </c>
      <c r="C28" s="5"/>
      <c r="D28" s="5"/>
      <c r="E28" s="14" t="s">
        <v>37</v>
      </c>
    </row>
    <row r="29" spans="1:5" x14ac:dyDescent="0.2">
      <c r="A29" s="6" t="s">
        <v>65</v>
      </c>
      <c r="B29" s="4">
        <f>1-B27-B28</f>
        <v>0.54899999999999993</v>
      </c>
      <c r="C29" s="5"/>
      <c r="D29" s="5"/>
      <c r="E29" s="14" t="s">
        <v>66</v>
      </c>
    </row>
    <row r="30" spans="1:5" x14ac:dyDescent="0.2">
      <c r="A30" s="6" t="s">
        <v>67</v>
      </c>
      <c r="B30" s="4">
        <v>0.25</v>
      </c>
      <c r="C30" s="5"/>
      <c r="D30" s="5"/>
      <c r="E30" s="14" t="s">
        <v>37</v>
      </c>
    </row>
    <row r="32" spans="1:5" x14ac:dyDescent="0.2">
      <c r="A32" s="9" t="s">
        <v>68</v>
      </c>
      <c r="B32" s="10"/>
      <c r="C32" s="10"/>
      <c r="D32" s="10"/>
      <c r="E32" s="10"/>
    </row>
    <row r="33" spans="1:5" x14ac:dyDescent="0.2">
      <c r="A33" s="11" t="s">
        <v>13</v>
      </c>
      <c r="B33" s="12" t="s">
        <v>14</v>
      </c>
      <c r="C33" s="12" t="s">
        <v>15</v>
      </c>
      <c r="D33" s="12" t="s">
        <v>69</v>
      </c>
      <c r="E33" s="12" t="s">
        <v>35</v>
      </c>
    </row>
    <row r="34" spans="1:5" x14ac:dyDescent="0.2">
      <c r="A34" s="6" t="s">
        <v>17</v>
      </c>
      <c r="B34" s="4">
        <v>0.39600000000000002</v>
      </c>
      <c r="C34" s="17" t="s">
        <v>18</v>
      </c>
      <c r="D34" s="18" t="s">
        <v>19</v>
      </c>
      <c r="E34" s="14" t="s">
        <v>37</v>
      </c>
    </row>
    <row r="35" spans="1:5" x14ac:dyDescent="0.2">
      <c r="A35" s="6" t="s">
        <v>20</v>
      </c>
      <c r="B35" s="17" t="s">
        <v>18</v>
      </c>
      <c r="C35" s="4">
        <v>0.46</v>
      </c>
      <c r="D35" s="18" t="s">
        <v>21</v>
      </c>
      <c r="E35" s="14" t="s">
        <v>37</v>
      </c>
    </row>
    <row r="36" spans="1:5" x14ac:dyDescent="0.2">
      <c r="A36" s="6" t="s">
        <v>22</v>
      </c>
      <c r="B36" s="17" t="s">
        <v>18</v>
      </c>
      <c r="C36" s="17" t="s">
        <v>18</v>
      </c>
      <c r="D36" s="14" t="s">
        <v>23</v>
      </c>
      <c r="E36" s="14" t="s">
        <v>70</v>
      </c>
    </row>
    <row r="38" spans="1:5" x14ac:dyDescent="0.2">
      <c r="A38" s="9" t="s">
        <v>71</v>
      </c>
      <c r="B38" s="10"/>
      <c r="C38" s="10"/>
      <c r="D38" s="10"/>
      <c r="E38" s="10"/>
    </row>
    <row r="39" spans="1:5" x14ac:dyDescent="0.2">
      <c r="A39" s="11" t="s">
        <v>72</v>
      </c>
      <c r="B39" s="12" t="s">
        <v>73</v>
      </c>
      <c r="C39" s="12" t="s">
        <v>74</v>
      </c>
      <c r="D39" s="12"/>
      <c r="E39" s="12" t="s">
        <v>45</v>
      </c>
    </row>
    <row r="40" spans="1:5" x14ac:dyDescent="0.2">
      <c r="A40" s="14" t="s">
        <v>75</v>
      </c>
      <c r="B40" s="19">
        <v>2.94</v>
      </c>
      <c r="C40" s="5"/>
      <c r="D40" s="5"/>
      <c r="E40" s="14" t="s">
        <v>76</v>
      </c>
    </row>
    <row r="41" spans="1:5" x14ac:dyDescent="0.2">
      <c r="A41" s="6" t="s">
        <v>77</v>
      </c>
      <c r="B41" s="16">
        <f>'Data &amp; Assumptions'!$B$6/(2+'Data &amp; Assumptions'!$B$40)</f>
        <v>182.16599190283401</v>
      </c>
      <c r="C41" s="17" t="s">
        <v>78</v>
      </c>
      <c r="D41" s="5"/>
      <c r="E41" s="14" t="s">
        <v>79</v>
      </c>
    </row>
    <row r="42" spans="1:5" x14ac:dyDescent="0.2">
      <c r="A42" s="6" t="s">
        <v>80</v>
      </c>
      <c r="B42" s="16">
        <f>'Data &amp; Assumptions'!$B$6-'Data &amp; Assumptions'!$B$41</f>
        <v>717.734008097166</v>
      </c>
      <c r="C42" s="4">
        <f>(B42/'Data &amp; Assumptions'!$B$41)-1</f>
        <v>2.94</v>
      </c>
      <c r="D42" s="5"/>
      <c r="E42" s="14" t="s">
        <v>81</v>
      </c>
    </row>
    <row r="44" spans="1:5" x14ac:dyDescent="0.2">
      <c r="A44" s="9" t="s">
        <v>82</v>
      </c>
      <c r="B44" s="10"/>
      <c r="C44" s="10"/>
      <c r="D44" s="10"/>
      <c r="E44" s="10"/>
    </row>
    <row r="45" spans="1:5" ht="27.75" customHeight="1" x14ac:dyDescent="0.2">
      <c r="A45" s="34" t="s">
        <v>83</v>
      </c>
      <c r="B45" s="34"/>
      <c r="C45" s="34"/>
      <c r="D45" s="34"/>
      <c r="E45" s="34"/>
    </row>
    <row r="46" spans="1:5" ht="27.75" customHeight="1" x14ac:dyDescent="0.2">
      <c r="A46" s="34" t="s">
        <v>84</v>
      </c>
      <c r="B46" s="34"/>
      <c r="C46" s="34"/>
      <c r="D46" s="34"/>
      <c r="E46" s="34"/>
    </row>
    <row r="47" spans="1:5" ht="27.75" customHeight="1" x14ac:dyDescent="0.2">
      <c r="A47" s="34" t="s">
        <v>85</v>
      </c>
      <c r="B47" s="34"/>
      <c r="C47" s="34"/>
      <c r="D47" s="34"/>
      <c r="E47" s="34"/>
    </row>
    <row r="48" spans="1:5" ht="27.75" customHeight="1" x14ac:dyDescent="0.2">
      <c r="A48" s="34" t="s">
        <v>86</v>
      </c>
      <c r="B48" s="34"/>
      <c r="C48" s="34"/>
      <c r="D48" s="34"/>
      <c r="E48" s="34"/>
    </row>
  </sheetData>
  <mergeCells count="4">
    <mergeCell ref="A45:E45"/>
    <mergeCell ref="A46:E46"/>
    <mergeCell ref="A47:E47"/>
    <mergeCell ref="A48:E4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2026-09-02T10:38:36Z</dcterms:created>
  <dcterms:modified xsi:type="dcterms:W3CDTF">2026-09-02T10:38:38Z</dcterms:modified>
  <dc:language>en-US</dc:language>
</cp:coreProperties>
</file>