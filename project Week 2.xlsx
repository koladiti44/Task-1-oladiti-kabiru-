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356576B1-2519-1941-A960-149F3E00706E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ummary" sheetId="1" r:id="rId1"/>
    <sheet name="Trends" sheetId="2" r:id="rId2"/>
    <sheet name="Segments" sheetId="3" r:id="rId3"/>
    <sheet name="Outliers" sheetId="4" r:id="rId4"/>
    <sheet name="Data" sheetId="5" r:id="rId5"/>
  </sheets>
  <definedNames>
    <definedName name="_xlnm._FilterDatabase" localSheetId="4" hidden="1">Data!$A$1:$R$1201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1201" i="5" l="1"/>
  <c r="B15" i="1"/>
  <c r="B14" i="1"/>
  <c r="B16" i="1"/>
  <c r="B17" i="1"/>
  <c r="C17" i="1"/>
  <c r="Q1201" i="5"/>
  <c r="P1201" i="5"/>
  <c r="O1201" i="5"/>
  <c r="R1200" i="5"/>
  <c r="Q1200" i="5"/>
  <c r="P1200" i="5"/>
  <c r="O1200" i="5"/>
  <c r="R1199" i="5"/>
  <c r="Q1199" i="5"/>
  <c r="P1199" i="5"/>
  <c r="O1199" i="5"/>
  <c r="R1198" i="5"/>
  <c r="Q1198" i="5"/>
  <c r="P1198" i="5"/>
  <c r="O1198" i="5"/>
  <c r="R1197" i="5"/>
  <c r="Q1197" i="5"/>
  <c r="P1197" i="5"/>
  <c r="O1197" i="5"/>
  <c r="R1196" i="5"/>
  <c r="Q1196" i="5"/>
  <c r="P1196" i="5"/>
  <c r="O1196" i="5"/>
  <c r="R1195" i="5"/>
  <c r="Q1195" i="5"/>
  <c r="P1195" i="5"/>
  <c r="O1195" i="5"/>
  <c r="R1194" i="5"/>
  <c r="Q1194" i="5"/>
  <c r="P1194" i="5"/>
  <c r="O1194" i="5"/>
  <c r="R1193" i="5"/>
  <c r="Q1193" i="5"/>
  <c r="P1193" i="5"/>
  <c r="O1193" i="5"/>
  <c r="R1192" i="5"/>
  <c r="Q1192" i="5"/>
  <c r="P1192" i="5"/>
  <c r="O1192" i="5"/>
  <c r="R1191" i="5"/>
  <c r="Q1191" i="5"/>
  <c r="P1191" i="5"/>
  <c r="O1191" i="5"/>
  <c r="R1190" i="5"/>
  <c r="Q1190" i="5"/>
  <c r="P1190" i="5"/>
  <c r="O1190" i="5"/>
  <c r="R1189" i="5"/>
  <c r="Q1189" i="5"/>
  <c r="P1189" i="5"/>
  <c r="O1189" i="5"/>
  <c r="R1188" i="5"/>
  <c r="Q1188" i="5"/>
  <c r="P1188" i="5"/>
  <c r="O1188" i="5"/>
  <c r="R1187" i="5"/>
  <c r="Q1187" i="5"/>
  <c r="P1187" i="5"/>
  <c r="O1187" i="5"/>
  <c r="R1186" i="5"/>
  <c r="Q1186" i="5"/>
  <c r="P1186" i="5"/>
  <c r="O1186" i="5"/>
  <c r="R1185" i="5"/>
  <c r="Q1185" i="5"/>
  <c r="P1185" i="5"/>
  <c r="O1185" i="5"/>
  <c r="R1184" i="5"/>
  <c r="Q1184" i="5"/>
  <c r="P1184" i="5"/>
  <c r="O1184" i="5"/>
  <c r="R1183" i="5"/>
  <c r="Q1183" i="5"/>
  <c r="P1183" i="5"/>
  <c r="O1183" i="5"/>
  <c r="R1182" i="5"/>
  <c r="Q1182" i="5"/>
  <c r="P1182" i="5"/>
  <c r="O1182" i="5"/>
  <c r="R1181" i="5"/>
  <c r="Q1181" i="5"/>
  <c r="P1181" i="5"/>
  <c r="O1181" i="5"/>
  <c r="R1180" i="5"/>
  <c r="Q1180" i="5"/>
  <c r="P1180" i="5"/>
  <c r="O1180" i="5"/>
  <c r="R1179" i="5"/>
  <c r="Q1179" i="5"/>
  <c r="P1179" i="5"/>
  <c r="O1179" i="5"/>
  <c r="R1178" i="5"/>
  <c r="Q1178" i="5"/>
  <c r="P1178" i="5"/>
  <c r="O1178" i="5"/>
  <c r="R1177" i="5"/>
  <c r="Q1177" i="5"/>
  <c r="P1177" i="5"/>
  <c r="O1177" i="5"/>
  <c r="R1176" i="5"/>
  <c r="Q1176" i="5"/>
  <c r="P1176" i="5"/>
  <c r="O1176" i="5"/>
  <c r="R1175" i="5"/>
  <c r="Q1175" i="5"/>
  <c r="P1175" i="5"/>
  <c r="O1175" i="5"/>
  <c r="R1174" i="5"/>
  <c r="Q1174" i="5"/>
  <c r="P1174" i="5"/>
  <c r="O1174" i="5"/>
  <c r="R1173" i="5"/>
  <c r="Q1173" i="5"/>
  <c r="P1173" i="5"/>
  <c r="O1173" i="5"/>
  <c r="R1172" i="5"/>
  <c r="Q1172" i="5"/>
  <c r="P1172" i="5"/>
  <c r="O1172" i="5"/>
  <c r="R1171" i="5"/>
  <c r="Q1171" i="5"/>
  <c r="P1171" i="5"/>
  <c r="O1171" i="5"/>
  <c r="R1170" i="5"/>
  <c r="Q1170" i="5"/>
  <c r="P1170" i="5"/>
  <c r="O1170" i="5"/>
  <c r="R1169" i="5"/>
  <c r="Q1169" i="5"/>
  <c r="P1169" i="5"/>
  <c r="O1169" i="5"/>
  <c r="R1168" i="5"/>
  <c r="Q1168" i="5"/>
  <c r="P1168" i="5"/>
  <c r="O1168" i="5"/>
  <c r="R1167" i="5"/>
  <c r="Q1167" i="5"/>
  <c r="P1167" i="5"/>
  <c r="O1167" i="5"/>
  <c r="R1166" i="5"/>
  <c r="Q1166" i="5"/>
  <c r="P1166" i="5"/>
  <c r="O1166" i="5"/>
  <c r="R1165" i="5"/>
  <c r="Q1165" i="5"/>
  <c r="P1165" i="5"/>
  <c r="O1165" i="5"/>
  <c r="R1164" i="5"/>
  <c r="Q1164" i="5"/>
  <c r="P1164" i="5"/>
  <c r="O1164" i="5"/>
  <c r="R1163" i="5"/>
  <c r="Q1163" i="5"/>
  <c r="P1163" i="5"/>
  <c r="O1163" i="5"/>
  <c r="R1162" i="5"/>
  <c r="Q1162" i="5"/>
  <c r="P1162" i="5"/>
  <c r="O1162" i="5"/>
  <c r="R1161" i="5"/>
  <c r="Q1161" i="5"/>
  <c r="P1161" i="5"/>
  <c r="O1161" i="5"/>
  <c r="R1160" i="5"/>
  <c r="Q1160" i="5"/>
  <c r="P1160" i="5"/>
  <c r="O1160" i="5"/>
  <c r="R1159" i="5"/>
  <c r="Q1159" i="5"/>
  <c r="P1159" i="5"/>
  <c r="O1159" i="5"/>
  <c r="R1158" i="5"/>
  <c r="Q1158" i="5"/>
  <c r="P1158" i="5"/>
  <c r="O1158" i="5"/>
  <c r="R1157" i="5"/>
  <c r="Q1157" i="5"/>
  <c r="P1157" i="5"/>
  <c r="O1157" i="5"/>
  <c r="R1156" i="5"/>
  <c r="Q1156" i="5"/>
  <c r="P1156" i="5"/>
  <c r="O1156" i="5"/>
  <c r="R1155" i="5"/>
  <c r="Q1155" i="5"/>
  <c r="P1155" i="5"/>
  <c r="O1155" i="5"/>
  <c r="R1154" i="5"/>
  <c r="Q1154" i="5"/>
  <c r="P1154" i="5"/>
  <c r="O1154" i="5"/>
  <c r="R1153" i="5"/>
  <c r="Q1153" i="5"/>
  <c r="P1153" i="5"/>
  <c r="O1153" i="5"/>
  <c r="R1152" i="5"/>
  <c r="Q1152" i="5"/>
  <c r="P1152" i="5"/>
  <c r="O1152" i="5"/>
  <c r="R1151" i="5"/>
  <c r="Q1151" i="5"/>
  <c r="P1151" i="5"/>
  <c r="O1151" i="5"/>
  <c r="R1150" i="5"/>
  <c r="Q1150" i="5"/>
  <c r="P1150" i="5"/>
  <c r="O1150" i="5"/>
  <c r="R1149" i="5"/>
  <c r="Q1149" i="5"/>
  <c r="P1149" i="5"/>
  <c r="O1149" i="5"/>
  <c r="R1148" i="5"/>
  <c r="Q1148" i="5"/>
  <c r="P1148" i="5"/>
  <c r="O1148" i="5"/>
  <c r="R1147" i="5"/>
  <c r="Q1147" i="5"/>
  <c r="P1147" i="5"/>
  <c r="O1147" i="5"/>
  <c r="R1146" i="5"/>
  <c r="Q1146" i="5"/>
  <c r="P1146" i="5"/>
  <c r="O1146" i="5"/>
  <c r="R1145" i="5"/>
  <c r="Q1145" i="5"/>
  <c r="P1145" i="5"/>
  <c r="O1145" i="5"/>
  <c r="R1144" i="5"/>
  <c r="Q1144" i="5"/>
  <c r="P1144" i="5"/>
  <c r="O1144" i="5"/>
  <c r="R1143" i="5"/>
  <c r="Q1143" i="5"/>
  <c r="P1143" i="5"/>
  <c r="O1143" i="5"/>
  <c r="R1142" i="5"/>
  <c r="Q1142" i="5"/>
  <c r="P1142" i="5"/>
  <c r="O1142" i="5"/>
  <c r="R1141" i="5"/>
  <c r="Q1141" i="5"/>
  <c r="P1141" i="5"/>
  <c r="O1141" i="5"/>
  <c r="R1140" i="5"/>
  <c r="Q1140" i="5"/>
  <c r="P1140" i="5"/>
  <c r="O1140" i="5"/>
  <c r="R1139" i="5"/>
  <c r="Q1139" i="5"/>
  <c r="P1139" i="5"/>
  <c r="O1139" i="5"/>
  <c r="R1138" i="5"/>
  <c r="Q1138" i="5"/>
  <c r="P1138" i="5"/>
  <c r="O1138" i="5"/>
  <c r="R1137" i="5"/>
  <c r="Q1137" i="5"/>
  <c r="P1137" i="5"/>
  <c r="O1137" i="5"/>
  <c r="R1136" i="5"/>
  <c r="Q1136" i="5"/>
  <c r="P1136" i="5"/>
  <c r="O1136" i="5"/>
  <c r="R1135" i="5"/>
  <c r="Q1135" i="5"/>
  <c r="P1135" i="5"/>
  <c r="O1135" i="5"/>
  <c r="R1134" i="5"/>
  <c r="Q1134" i="5"/>
  <c r="P1134" i="5"/>
  <c r="O1134" i="5"/>
  <c r="R1133" i="5"/>
  <c r="Q1133" i="5"/>
  <c r="P1133" i="5"/>
  <c r="O1133" i="5"/>
  <c r="R1132" i="5"/>
  <c r="Q1132" i="5"/>
  <c r="P1132" i="5"/>
  <c r="O1132" i="5"/>
  <c r="R1131" i="5"/>
  <c r="Q1131" i="5"/>
  <c r="P1131" i="5"/>
  <c r="O1131" i="5"/>
  <c r="R1130" i="5"/>
  <c r="Q1130" i="5"/>
  <c r="P1130" i="5"/>
  <c r="O1130" i="5"/>
  <c r="R1129" i="5"/>
  <c r="Q1129" i="5"/>
  <c r="P1129" i="5"/>
  <c r="O1129" i="5"/>
  <c r="R1128" i="5"/>
  <c r="Q1128" i="5"/>
  <c r="P1128" i="5"/>
  <c r="O1128" i="5"/>
  <c r="R1127" i="5"/>
  <c r="Q1127" i="5"/>
  <c r="P1127" i="5"/>
  <c r="O1127" i="5"/>
  <c r="R1126" i="5"/>
  <c r="Q1126" i="5"/>
  <c r="P1126" i="5"/>
  <c r="O1126" i="5"/>
  <c r="R1125" i="5"/>
  <c r="Q1125" i="5"/>
  <c r="P1125" i="5"/>
  <c r="O1125" i="5"/>
  <c r="R1124" i="5"/>
  <c r="Q1124" i="5"/>
  <c r="P1124" i="5"/>
  <c r="O1124" i="5"/>
  <c r="R1123" i="5"/>
  <c r="Q1123" i="5"/>
  <c r="P1123" i="5"/>
  <c r="O1123" i="5"/>
  <c r="R1122" i="5"/>
  <c r="Q1122" i="5"/>
  <c r="P1122" i="5"/>
  <c r="O1122" i="5"/>
  <c r="R1121" i="5"/>
  <c r="Q1121" i="5"/>
  <c r="P1121" i="5"/>
  <c r="O1121" i="5"/>
  <c r="R1120" i="5"/>
  <c r="Q1120" i="5"/>
  <c r="P1120" i="5"/>
  <c r="O1120" i="5"/>
  <c r="R1119" i="5"/>
  <c r="Q1119" i="5"/>
  <c r="P1119" i="5"/>
  <c r="O1119" i="5"/>
  <c r="R1118" i="5"/>
  <c r="Q1118" i="5"/>
  <c r="P1118" i="5"/>
  <c r="O1118" i="5"/>
  <c r="R1117" i="5"/>
  <c r="Q1117" i="5"/>
  <c r="P1117" i="5"/>
  <c r="O1117" i="5"/>
  <c r="R1116" i="5"/>
  <c r="Q1116" i="5"/>
  <c r="P1116" i="5"/>
  <c r="O1116" i="5"/>
  <c r="R1115" i="5"/>
  <c r="Q1115" i="5"/>
  <c r="P1115" i="5"/>
  <c r="O1115" i="5"/>
  <c r="R1114" i="5"/>
  <c r="Q1114" i="5"/>
  <c r="P1114" i="5"/>
  <c r="O1114" i="5"/>
  <c r="R1113" i="5"/>
  <c r="Q1113" i="5"/>
  <c r="P1113" i="5"/>
  <c r="O1113" i="5"/>
  <c r="R1112" i="5"/>
  <c r="Q1112" i="5"/>
  <c r="P1112" i="5"/>
  <c r="O1112" i="5"/>
  <c r="R1111" i="5"/>
  <c r="Q1111" i="5"/>
  <c r="P1111" i="5"/>
  <c r="O1111" i="5"/>
  <c r="R1110" i="5"/>
  <c r="Q1110" i="5"/>
  <c r="P1110" i="5"/>
  <c r="O1110" i="5"/>
  <c r="R1109" i="5"/>
  <c r="Q1109" i="5"/>
  <c r="P1109" i="5"/>
  <c r="O1109" i="5"/>
  <c r="R1108" i="5"/>
  <c r="Q1108" i="5"/>
  <c r="P1108" i="5"/>
  <c r="O1108" i="5"/>
  <c r="R1107" i="5"/>
  <c r="Q1107" i="5"/>
  <c r="P1107" i="5"/>
  <c r="O1107" i="5"/>
  <c r="R1106" i="5"/>
  <c r="Q1106" i="5"/>
  <c r="P1106" i="5"/>
  <c r="O1106" i="5"/>
  <c r="R1105" i="5"/>
  <c r="Q1105" i="5"/>
  <c r="P1105" i="5"/>
  <c r="O1105" i="5"/>
  <c r="R1104" i="5"/>
  <c r="Q1104" i="5"/>
  <c r="P1104" i="5"/>
  <c r="O1104" i="5"/>
  <c r="R1103" i="5"/>
  <c r="Q1103" i="5"/>
  <c r="P1103" i="5"/>
  <c r="O1103" i="5"/>
  <c r="R1102" i="5"/>
  <c r="Q1102" i="5"/>
  <c r="P1102" i="5"/>
  <c r="O1102" i="5"/>
  <c r="R1101" i="5"/>
  <c r="Q1101" i="5"/>
  <c r="P1101" i="5"/>
  <c r="O1101" i="5"/>
  <c r="R1100" i="5"/>
  <c r="Q1100" i="5"/>
  <c r="P1100" i="5"/>
  <c r="O1100" i="5"/>
  <c r="R1099" i="5"/>
  <c r="Q1099" i="5"/>
  <c r="P1099" i="5"/>
  <c r="O1099" i="5"/>
  <c r="R1098" i="5"/>
  <c r="Q1098" i="5"/>
  <c r="P1098" i="5"/>
  <c r="O1098" i="5"/>
  <c r="R1097" i="5"/>
  <c r="Q1097" i="5"/>
  <c r="P1097" i="5"/>
  <c r="O1097" i="5"/>
  <c r="R1096" i="5"/>
  <c r="Q1096" i="5"/>
  <c r="P1096" i="5"/>
  <c r="O1096" i="5"/>
  <c r="R1095" i="5"/>
  <c r="Q1095" i="5"/>
  <c r="P1095" i="5"/>
  <c r="O1095" i="5"/>
  <c r="R1094" i="5"/>
  <c r="Q1094" i="5"/>
  <c r="P1094" i="5"/>
  <c r="O1094" i="5"/>
  <c r="R1093" i="5"/>
  <c r="Q1093" i="5"/>
  <c r="P1093" i="5"/>
  <c r="O1093" i="5"/>
  <c r="R1092" i="5"/>
  <c r="Q1092" i="5"/>
  <c r="P1092" i="5"/>
  <c r="O1092" i="5"/>
  <c r="R1091" i="5"/>
  <c r="Q1091" i="5"/>
  <c r="P1091" i="5"/>
  <c r="O1091" i="5"/>
  <c r="R1090" i="5"/>
  <c r="Q1090" i="5"/>
  <c r="P1090" i="5"/>
  <c r="O1090" i="5"/>
  <c r="R1089" i="5"/>
  <c r="Q1089" i="5"/>
  <c r="P1089" i="5"/>
  <c r="O1089" i="5"/>
  <c r="R1088" i="5"/>
  <c r="Q1088" i="5"/>
  <c r="P1088" i="5"/>
  <c r="O1088" i="5"/>
  <c r="R1087" i="5"/>
  <c r="Q1087" i="5"/>
  <c r="P1087" i="5"/>
  <c r="O1087" i="5"/>
  <c r="R1086" i="5"/>
  <c r="Q1086" i="5"/>
  <c r="P1086" i="5"/>
  <c r="O1086" i="5"/>
  <c r="R1085" i="5"/>
  <c r="Q1085" i="5"/>
  <c r="P1085" i="5"/>
  <c r="O1085" i="5"/>
  <c r="R1084" i="5"/>
  <c r="Q1084" i="5"/>
  <c r="P1084" i="5"/>
  <c r="O1084" i="5"/>
  <c r="R1083" i="5"/>
  <c r="Q1083" i="5"/>
  <c r="P1083" i="5"/>
  <c r="O1083" i="5"/>
  <c r="R1082" i="5"/>
  <c r="Q1082" i="5"/>
  <c r="P1082" i="5"/>
  <c r="O1082" i="5"/>
  <c r="R1081" i="5"/>
  <c r="Q1081" i="5"/>
  <c r="P1081" i="5"/>
  <c r="O1081" i="5"/>
  <c r="R1080" i="5"/>
  <c r="Q1080" i="5"/>
  <c r="P1080" i="5"/>
  <c r="O1080" i="5"/>
  <c r="R1079" i="5"/>
  <c r="Q1079" i="5"/>
  <c r="P1079" i="5"/>
  <c r="O1079" i="5"/>
  <c r="R1078" i="5"/>
  <c r="Q1078" i="5"/>
  <c r="P1078" i="5"/>
  <c r="O1078" i="5"/>
  <c r="R1077" i="5"/>
  <c r="Q1077" i="5"/>
  <c r="P1077" i="5"/>
  <c r="O1077" i="5"/>
  <c r="R1076" i="5"/>
  <c r="Q1076" i="5"/>
  <c r="P1076" i="5"/>
  <c r="O1076" i="5"/>
  <c r="R1075" i="5"/>
  <c r="Q1075" i="5"/>
  <c r="P1075" i="5"/>
  <c r="O1075" i="5"/>
  <c r="R1074" i="5"/>
  <c r="Q1074" i="5"/>
  <c r="P1074" i="5"/>
  <c r="O1074" i="5"/>
  <c r="R1073" i="5"/>
  <c r="Q1073" i="5"/>
  <c r="P1073" i="5"/>
  <c r="O1073" i="5"/>
  <c r="R1072" i="5"/>
  <c r="Q1072" i="5"/>
  <c r="P1072" i="5"/>
  <c r="O1072" i="5"/>
  <c r="R1071" i="5"/>
  <c r="Q1071" i="5"/>
  <c r="P1071" i="5"/>
  <c r="O1071" i="5"/>
  <c r="R1070" i="5"/>
  <c r="Q1070" i="5"/>
  <c r="P1070" i="5"/>
  <c r="O1070" i="5"/>
  <c r="R1069" i="5"/>
  <c r="Q1069" i="5"/>
  <c r="P1069" i="5"/>
  <c r="O1069" i="5"/>
  <c r="R1068" i="5"/>
  <c r="Q1068" i="5"/>
  <c r="P1068" i="5"/>
  <c r="O1068" i="5"/>
  <c r="R1067" i="5"/>
  <c r="Q1067" i="5"/>
  <c r="P1067" i="5"/>
  <c r="O1067" i="5"/>
  <c r="R1066" i="5"/>
  <c r="Q1066" i="5"/>
  <c r="P1066" i="5"/>
  <c r="O1066" i="5"/>
  <c r="R1065" i="5"/>
  <c r="Q1065" i="5"/>
  <c r="P1065" i="5"/>
  <c r="O1065" i="5"/>
  <c r="R1064" i="5"/>
  <c r="Q1064" i="5"/>
  <c r="P1064" i="5"/>
  <c r="O1064" i="5"/>
  <c r="R1063" i="5"/>
  <c r="Q1063" i="5"/>
  <c r="P1063" i="5"/>
  <c r="O1063" i="5"/>
  <c r="R1062" i="5"/>
  <c r="Q1062" i="5"/>
  <c r="P1062" i="5"/>
  <c r="O1062" i="5"/>
  <c r="R1061" i="5"/>
  <c r="Q1061" i="5"/>
  <c r="P1061" i="5"/>
  <c r="O1061" i="5"/>
  <c r="R1060" i="5"/>
  <c r="Q1060" i="5"/>
  <c r="P1060" i="5"/>
  <c r="O1060" i="5"/>
  <c r="R1059" i="5"/>
  <c r="Q1059" i="5"/>
  <c r="P1059" i="5"/>
  <c r="O1059" i="5"/>
  <c r="R1058" i="5"/>
  <c r="Q1058" i="5"/>
  <c r="P1058" i="5"/>
  <c r="O1058" i="5"/>
  <c r="R1057" i="5"/>
  <c r="Q1057" i="5"/>
  <c r="P1057" i="5"/>
  <c r="O1057" i="5"/>
  <c r="R1056" i="5"/>
  <c r="Q1056" i="5"/>
  <c r="P1056" i="5"/>
  <c r="O1056" i="5"/>
  <c r="R1055" i="5"/>
  <c r="Q1055" i="5"/>
  <c r="P1055" i="5"/>
  <c r="O1055" i="5"/>
  <c r="R1054" i="5"/>
  <c r="Q1054" i="5"/>
  <c r="P1054" i="5"/>
  <c r="O1054" i="5"/>
  <c r="R1053" i="5"/>
  <c r="Q1053" i="5"/>
  <c r="P1053" i="5"/>
  <c r="O1053" i="5"/>
  <c r="R1052" i="5"/>
  <c r="Q1052" i="5"/>
  <c r="P1052" i="5"/>
  <c r="O1052" i="5"/>
  <c r="R1051" i="5"/>
  <c r="Q1051" i="5"/>
  <c r="P1051" i="5"/>
  <c r="O1051" i="5"/>
  <c r="R1050" i="5"/>
  <c r="Q1050" i="5"/>
  <c r="P1050" i="5"/>
  <c r="O1050" i="5"/>
  <c r="R1049" i="5"/>
  <c r="Q1049" i="5"/>
  <c r="P1049" i="5"/>
  <c r="O1049" i="5"/>
  <c r="R1048" i="5"/>
  <c r="Q1048" i="5"/>
  <c r="P1048" i="5"/>
  <c r="O1048" i="5"/>
  <c r="R1047" i="5"/>
  <c r="Q1047" i="5"/>
  <c r="P1047" i="5"/>
  <c r="O1047" i="5"/>
  <c r="R1046" i="5"/>
  <c r="Q1046" i="5"/>
  <c r="P1046" i="5"/>
  <c r="O1046" i="5"/>
  <c r="R1045" i="5"/>
  <c r="Q1045" i="5"/>
  <c r="P1045" i="5"/>
  <c r="O1045" i="5"/>
  <c r="R1044" i="5"/>
  <c r="Q1044" i="5"/>
  <c r="P1044" i="5"/>
  <c r="O1044" i="5"/>
  <c r="R1043" i="5"/>
  <c r="Q1043" i="5"/>
  <c r="P1043" i="5"/>
  <c r="O1043" i="5"/>
  <c r="R1042" i="5"/>
  <c r="Q1042" i="5"/>
  <c r="P1042" i="5"/>
  <c r="O1042" i="5"/>
  <c r="R1041" i="5"/>
  <c r="Q1041" i="5"/>
  <c r="P1041" i="5"/>
  <c r="O1041" i="5"/>
  <c r="R1040" i="5"/>
  <c r="Q1040" i="5"/>
  <c r="P1040" i="5"/>
  <c r="O1040" i="5"/>
  <c r="R1039" i="5"/>
  <c r="Q1039" i="5"/>
  <c r="P1039" i="5"/>
  <c r="O1039" i="5"/>
  <c r="R1038" i="5"/>
  <c r="Q1038" i="5"/>
  <c r="P1038" i="5"/>
  <c r="O1038" i="5"/>
  <c r="R1037" i="5"/>
  <c r="Q1037" i="5"/>
  <c r="P1037" i="5"/>
  <c r="O1037" i="5"/>
  <c r="R1036" i="5"/>
  <c r="Q1036" i="5"/>
  <c r="P1036" i="5"/>
  <c r="O1036" i="5"/>
  <c r="R1035" i="5"/>
  <c r="Q1035" i="5"/>
  <c r="P1035" i="5"/>
  <c r="O1035" i="5"/>
  <c r="R1034" i="5"/>
  <c r="Q1034" i="5"/>
  <c r="P1034" i="5"/>
  <c r="O1034" i="5"/>
  <c r="R1033" i="5"/>
  <c r="Q1033" i="5"/>
  <c r="P1033" i="5"/>
  <c r="O1033" i="5"/>
  <c r="R1032" i="5"/>
  <c r="Q1032" i="5"/>
  <c r="P1032" i="5"/>
  <c r="O1032" i="5"/>
  <c r="R1031" i="5"/>
  <c r="Q1031" i="5"/>
  <c r="P1031" i="5"/>
  <c r="O1031" i="5"/>
  <c r="R1030" i="5"/>
  <c r="Q1030" i="5"/>
  <c r="P1030" i="5"/>
  <c r="O1030" i="5"/>
  <c r="R1029" i="5"/>
  <c r="Q1029" i="5"/>
  <c r="P1029" i="5"/>
  <c r="O1029" i="5"/>
  <c r="R1028" i="5"/>
  <c r="Q1028" i="5"/>
  <c r="P1028" i="5"/>
  <c r="O1028" i="5"/>
  <c r="R1027" i="5"/>
  <c r="Q1027" i="5"/>
  <c r="P1027" i="5"/>
  <c r="O1027" i="5"/>
  <c r="R1026" i="5"/>
  <c r="Q1026" i="5"/>
  <c r="P1026" i="5"/>
  <c r="O1026" i="5"/>
  <c r="R1025" i="5"/>
  <c r="Q1025" i="5"/>
  <c r="P1025" i="5"/>
  <c r="O1025" i="5"/>
  <c r="R1024" i="5"/>
  <c r="Q1024" i="5"/>
  <c r="P1024" i="5"/>
  <c r="O1024" i="5"/>
  <c r="R1023" i="5"/>
  <c r="Q1023" i="5"/>
  <c r="P1023" i="5"/>
  <c r="O1023" i="5"/>
  <c r="R1022" i="5"/>
  <c r="Q1022" i="5"/>
  <c r="P1022" i="5"/>
  <c r="O1022" i="5"/>
  <c r="R1021" i="5"/>
  <c r="Q1021" i="5"/>
  <c r="P1021" i="5"/>
  <c r="O1021" i="5"/>
  <c r="R1020" i="5"/>
  <c r="Q1020" i="5"/>
  <c r="P1020" i="5"/>
  <c r="O1020" i="5"/>
  <c r="R1019" i="5"/>
  <c r="Q1019" i="5"/>
  <c r="P1019" i="5"/>
  <c r="O1019" i="5"/>
  <c r="R1018" i="5"/>
  <c r="Q1018" i="5"/>
  <c r="P1018" i="5"/>
  <c r="O1018" i="5"/>
  <c r="R1017" i="5"/>
  <c r="Q1017" i="5"/>
  <c r="P1017" i="5"/>
  <c r="O1017" i="5"/>
  <c r="R1016" i="5"/>
  <c r="Q1016" i="5"/>
  <c r="P1016" i="5"/>
  <c r="O1016" i="5"/>
  <c r="R1015" i="5"/>
  <c r="Q1015" i="5"/>
  <c r="P1015" i="5"/>
  <c r="O1015" i="5"/>
  <c r="R1014" i="5"/>
  <c r="Q1014" i="5"/>
  <c r="P1014" i="5"/>
  <c r="O1014" i="5"/>
  <c r="R1013" i="5"/>
  <c r="Q1013" i="5"/>
  <c r="P1013" i="5"/>
  <c r="O1013" i="5"/>
  <c r="R1012" i="5"/>
  <c r="Q1012" i="5"/>
  <c r="P1012" i="5"/>
  <c r="O1012" i="5"/>
  <c r="R1011" i="5"/>
  <c r="Q1011" i="5"/>
  <c r="P1011" i="5"/>
  <c r="O1011" i="5"/>
  <c r="R1010" i="5"/>
  <c r="Q1010" i="5"/>
  <c r="P1010" i="5"/>
  <c r="O1010" i="5"/>
  <c r="R1009" i="5"/>
  <c r="Q1009" i="5"/>
  <c r="P1009" i="5"/>
  <c r="O1009" i="5"/>
  <c r="R1008" i="5"/>
  <c r="Q1008" i="5"/>
  <c r="P1008" i="5"/>
  <c r="O1008" i="5"/>
  <c r="R1007" i="5"/>
  <c r="Q1007" i="5"/>
  <c r="P1007" i="5"/>
  <c r="O1007" i="5"/>
  <c r="R1006" i="5"/>
  <c r="Q1006" i="5"/>
  <c r="P1006" i="5"/>
  <c r="O1006" i="5"/>
  <c r="R1005" i="5"/>
  <c r="Q1005" i="5"/>
  <c r="P1005" i="5"/>
  <c r="O1005" i="5"/>
  <c r="R1004" i="5"/>
  <c r="Q1004" i="5"/>
  <c r="P1004" i="5"/>
  <c r="O1004" i="5"/>
  <c r="R1003" i="5"/>
  <c r="Q1003" i="5"/>
  <c r="P1003" i="5"/>
  <c r="O1003" i="5"/>
  <c r="R1002" i="5"/>
  <c r="Q1002" i="5"/>
  <c r="P1002" i="5"/>
  <c r="O1002" i="5"/>
  <c r="R1001" i="5"/>
  <c r="Q1001" i="5"/>
  <c r="P1001" i="5"/>
  <c r="O1001" i="5"/>
  <c r="R1000" i="5"/>
  <c r="Q1000" i="5"/>
  <c r="P1000" i="5"/>
  <c r="O1000" i="5"/>
  <c r="R999" i="5"/>
  <c r="Q999" i="5"/>
  <c r="P999" i="5"/>
  <c r="O999" i="5"/>
  <c r="R998" i="5"/>
  <c r="Q998" i="5"/>
  <c r="P998" i="5"/>
  <c r="O998" i="5"/>
  <c r="R997" i="5"/>
  <c r="Q997" i="5"/>
  <c r="P997" i="5"/>
  <c r="O997" i="5"/>
  <c r="R996" i="5"/>
  <c r="Q996" i="5"/>
  <c r="P996" i="5"/>
  <c r="O996" i="5"/>
  <c r="R995" i="5"/>
  <c r="Q995" i="5"/>
  <c r="P995" i="5"/>
  <c r="O995" i="5"/>
  <c r="R994" i="5"/>
  <c r="Q994" i="5"/>
  <c r="P994" i="5"/>
  <c r="O994" i="5"/>
  <c r="R993" i="5"/>
  <c r="Q993" i="5"/>
  <c r="P993" i="5"/>
  <c r="O993" i="5"/>
  <c r="R992" i="5"/>
  <c r="Q992" i="5"/>
  <c r="P992" i="5"/>
  <c r="O992" i="5"/>
  <c r="R991" i="5"/>
  <c r="Q991" i="5"/>
  <c r="P991" i="5"/>
  <c r="O991" i="5"/>
  <c r="R990" i="5"/>
  <c r="Q990" i="5"/>
  <c r="P990" i="5"/>
  <c r="O990" i="5"/>
  <c r="R989" i="5"/>
  <c r="Q989" i="5"/>
  <c r="P989" i="5"/>
  <c r="O989" i="5"/>
  <c r="R988" i="5"/>
  <c r="Q988" i="5"/>
  <c r="P988" i="5"/>
  <c r="O988" i="5"/>
  <c r="R987" i="5"/>
  <c r="Q987" i="5"/>
  <c r="P987" i="5"/>
  <c r="O987" i="5"/>
  <c r="R986" i="5"/>
  <c r="Q986" i="5"/>
  <c r="P986" i="5"/>
  <c r="O986" i="5"/>
  <c r="R985" i="5"/>
  <c r="Q985" i="5"/>
  <c r="P985" i="5"/>
  <c r="O985" i="5"/>
  <c r="R984" i="5"/>
  <c r="Q984" i="5"/>
  <c r="P984" i="5"/>
  <c r="O984" i="5"/>
  <c r="R983" i="5"/>
  <c r="Q983" i="5"/>
  <c r="P983" i="5"/>
  <c r="O983" i="5"/>
  <c r="R982" i="5"/>
  <c r="Q982" i="5"/>
  <c r="P982" i="5"/>
  <c r="O982" i="5"/>
  <c r="R981" i="5"/>
  <c r="Q981" i="5"/>
  <c r="P981" i="5"/>
  <c r="O981" i="5"/>
  <c r="R980" i="5"/>
  <c r="Q980" i="5"/>
  <c r="P980" i="5"/>
  <c r="O980" i="5"/>
  <c r="R979" i="5"/>
  <c r="Q979" i="5"/>
  <c r="P979" i="5"/>
  <c r="O979" i="5"/>
  <c r="R978" i="5"/>
  <c r="Q978" i="5"/>
  <c r="P978" i="5"/>
  <c r="O978" i="5"/>
  <c r="R977" i="5"/>
  <c r="Q977" i="5"/>
  <c r="P977" i="5"/>
  <c r="O977" i="5"/>
  <c r="R976" i="5"/>
  <c r="Q976" i="5"/>
  <c r="P976" i="5"/>
  <c r="O976" i="5"/>
  <c r="R975" i="5"/>
  <c r="Q975" i="5"/>
  <c r="P975" i="5"/>
  <c r="O975" i="5"/>
  <c r="R974" i="5"/>
  <c r="Q974" i="5"/>
  <c r="P974" i="5"/>
  <c r="O974" i="5"/>
  <c r="R973" i="5"/>
  <c r="Q973" i="5"/>
  <c r="P973" i="5"/>
  <c r="O973" i="5"/>
  <c r="R972" i="5"/>
  <c r="Q972" i="5"/>
  <c r="P972" i="5"/>
  <c r="O972" i="5"/>
  <c r="R971" i="5"/>
  <c r="Q971" i="5"/>
  <c r="P971" i="5"/>
  <c r="O971" i="5"/>
  <c r="R970" i="5"/>
  <c r="Q970" i="5"/>
  <c r="P970" i="5"/>
  <c r="O970" i="5"/>
  <c r="R969" i="5"/>
  <c r="Q969" i="5"/>
  <c r="P969" i="5"/>
  <c r="O969" i="5"/>
  <c r="R968" i="5"/>
  <c r="Q968" i="5"/>
  <c r="P968" i="5"/>
  <c r="O968" i="5"/>
  <c r="R967" i="5"/>
  <c r="Q967" i="5"/>
  <c r="P967" i="5"/>
  <c r="O967" i="5"/>
  <c r="R966" i="5"/>
  <c r="Q966" i="5"/>
  <c r="P966" i="5"/>
  <c r="O966" i="5"/>
  <c r="R965" i="5"/>
  <c r="Q965" i="5"/>
  <c r="P965" i="5"/>
  <c r="O965" i="5"/>
  <c r="R964" i="5"/>
  <c r="Q964" i="5"/>
  <c r="P964" i="5"/>
  <c r="O964" i="5"/>
  <c r="R963" i="5"/>
  <c r="Q963" i="5"/>
  <c r="P963" i="5"/>
  <c r="O963" i="5"/>
  <c r="R962" i="5"/>
  <c r="Q962" i="5"/>
  <c r="P962" i="5"/>
  <c r="O962" i="5"/>
  <c r="R961" i="5"/>
  <c r="Q961" i="5"/>
  <c r="P961" i="5"/>
  <c r="O961" i="5"/>
  <c r="R960" i="5"/>
  <c r="Q960" i="5"/>
  <c r="P960" i="5"/>
  <c r="O960" i="5"/>
  <c r="R959" i="5"/>
  <c r="Q959" i="5"/>
  <c r="P959" i="5"/>
  <c r="O959" i="5"/>
  <c r="R958" i="5"/>
  <c r="Q958" i="5"/>
  <c r="P958" i="5"/>
  <c r="O958" i="5"/>
  <c r="R957" i="5"/>
  <c r="Q957" i="5"/>
  <c r="P957" i="5"/>
  <c r="O957" i="5"/>
  <c r="R956" i="5"/>
  <c r="Q956" i="5"/>
  <c r="P956" i="5"/>
  <c r="O956" i="5"/>
  <c r="R955" i="5"/>
  <c r="Q955" i="5"/>
  <c r="P955" i="5"/>
  <c r="O955" i="5"/>
  <c r="R954" i="5"/>
  <c r="Q954" i="5"/>
  <c r="P954" i="5"/>
  <c r="O954" i="5"/>
  <c r="R953" i="5"/>
  <c r="Q953" i="5"/>
  <c r="P953" i="5"/>
  <c r="O953" i="5"/>
  <c r="R952" i="5"/>
  <c r="Q952" i="5"/>
  <c r="P952" i="5"/>
  <c r="O952" i="5"/>
  <c r="R951" i="5"/>
  <c r="Q951" i="5"/>
  <c r="P951" i="5"/>
  <c r="O951" i="5"/>
  <c r="R950" i="5"/>
  <c r="Q950" i="5"/>
  <c r="P950" i="5"/>
  <c r="O950" i="5"/>
  <c r="R949" i="5"/>
  <c r="Q949" i="5"/>
  <c r="P949" i="5"/>
  <c r="O949" i="5"/>
  <c r="R948" i="5"/>
  <c r="Q948" i="5"/>
  <c r="P948" i="5"/>
  <c r="O948" i="5"/>
  <c r="R947" i="5"/>
  <c r="Q947" i="5"/>
  <c r="P947" i="5"/>
  <c r="O947" i="5"/>
  <c r="R946" i="5"/>
  <c r="Q946" i="5"/>
  <c r="P946" i="5"/>
  <c r="O946" i="5"/>
  <c r="R945" i="5"/>
  <c r="Q945" i="5"/>
  <c r="P945" i="5"/>
  <c r="O945" i="5"/>
  <c r="R944" i="5"/>
  <c r="Q944" i="5"/>
  <c r="P944" i="5"/>
  <c r="O944" i="5"/>
  <c r="R943" i="5"/>
  <c r="Q943" i="5"/>
  <c r="P943" i="5"/>
  <c r="O943" i="5"/>
  <c r="R942" i="5"/>
  <c r="Q942" i="5"/>
  <c r="P942" i="5"/>
  <c r="O942" i="5"/>
  <c r="R941" i="5"/>
  <c r="Q941" i="5"/>
  <c r="P941" i="5"/>
  <c r="O941" i="5"/>
  <c r="R940" i="5"/>
  <c r="Q940" i="5"/>
  <c r="P940" i="5"/>
  <c r="O940" i="5"/>
  <c r="R939" i="5"/>
  <c r="Q939" i="5"/>
  <c r="P939" i="5"/>
  <c r="O939" i="5"/>
  <c r="R938" i="5"/>
  <c r="Q938" i="5"/>
  <c r="P938" i="5"/>
  <c r="O938" i="5"/>
  <c r="R937" i="5"/>
  <c r="Q937" i="5"/>
  <c r="P937" i="5"/>
  <c r="O937" i="5"/>
  <c r="R936" i="5"/>
  <c r="Q936" i="5"/>
  <c r="P936" i="5"/>
  <c r="O936" i="5"/>
  <c r="R935" i="5"/>
  <c r="Q935" i="5"/>
  <c r="P935" i="5"/>
  <c r="O935" i="5"/>
  <c r="R934" i="5"/>
  <c r="Q934" i="5"/>
  <c r="P934" i="5"/>
  <c r="O934" i="5"/>
  <c r="R933" i="5"/>
  <c r="Q933" i="5"/>
  <c r="P933" i="5"/>
  <c r="O933" i="5"/>
  <c r="R932" i="5"/>
  <c r="Q932" i="5"/>
  <c r="P932" i="5"/>
  <c r="O932" i="5"/>
  <c r="R931" i="5"/>
  <c r="Q931" i="5"/>
  <c r="P931" i="5"/>
  <c r="O931" i="5"/>
  <c r="R930" i="5"/>
  <c r="Q930" i="5"/>
  <c r="P930" i="5"/>
  <c r="O930" i="5"/>
  <c r="R929" i="5"/>
  <c r="Q929" i="5"/>
  <c r="P929" i="5"/>
  <c r="O929" i="5"/>
  <c r="R928" i="5"/>
  <c r="Q928" i="5"/>
  <c r="P928" i="5"/>
  <c r="O928" i="5"/>
  <c r="R927" i="5"/>
  <c r="Q927" i="5"/>
  <c r="P927" i="5"/>
  <c r="O927" i="5"/>
  <c r="R926" i="5"/>
  <c r="Q926" i="5"/>
  <c r="P926" i="5"/>
  <c r="O926" i="5"/>
  <c r="R925" i="5"/>
  <c r="Q925" i="5"/>
  <c r="P925" i="5"/>
  <c r="O925" i="5"/>
  <c r="R924" i="5"/>
  <c r="Q924" i="5"/>
  <c r="P924" i="5"/>
  <c r="O924" i="5"/>
  <c r="R923" i="5"/>
  <c r="Q923" i="5"/>
  <c r="P923" i="5"/>
  <c r="O923" i="5"/>
  <c r="R922" i="5"/>
  <c r="Q922" i="5"/>
  <c r="P922" i="5"/>
  <c r="O922" i="5"/>
  <c r="R921" i="5"/>
  <c r="Q921" i="5"/>
  <c r="P921" i="5"/>
  <c r="O921" i="5"/>
  <c r="R920" i="5"/>
  <c r="Q920" i="5"/>
  <c r="P920" i="5"/>
  <c r="O920" i="5"/>
  <c r="R919" i="5"/>
  <c r="Q919" i="5"/>
  <c r="P919" i="5"/>
  <c r="O919" i="5"/>
  <c r="R918" i="5"/>
  <c r="Q918" i="5"/>
  <c r="P918" i="5"/>
  <c r="O918" i="5"/>
  <c r="R917" i="5"/>
  <c r="Q917" i="5"/>
  <c r="P917" i="5"/>
  <c r="O917" i="5"/>
  <c r="R916" i="5"/>
  <c r="Q916" i="5"/>
  <c r="P916" i="5"/>
  <c r="O916" i="5"/>
  <c r="R915" i="5"/>
  <c r="Q915" i="5"/>
  <c r="P915" i="5"/>
  <c r="O915" i="5"/>
  <c r="R914" i="5"/>
  <c r="Q914" i="5"/>
  <c r="P914" i="5"/>
  <c r="O914" i="5"/>
  <c r="R913" i="5"/>
  <c r="Q913" i="5"/>
  <c r="P913" i="5"/>
  <c r="O913" i="5"/>
  <c r="R912" i="5"/>
  <c r="Q912" i="5"/>
  <c r="P912" i="5"/>
  <c r="O912" i="5"/>
  <c r="R911" i="5"/>
  <c r="Q911" i="5"/>
  <c r="P911" i="5"/>
  <c r="O911" i="5"/>
  <c r="R910" i="5"/>
  <c r="Q910" i="5"/>
  <c r="P910" i="5"/>
  <c r="O910" i="5"/>
  <c r="R909" i="5"/>
  <c r="Q909" i="5"/>
  <c r="P909" i="5"/>
  <c r="O909" i="5"/>
  <c r="R908" i="5"/>
  <c r="Q908" i="5"/>
  <c r="P908" i="5"/>
  <c r="O908" i="5"/>
  <c r="R907" i="5"/>
  <c r="Q907" i="5"/>
  <c r="P907" i="5"/>
  <c r="O907" i="5"/>
  <c r="R906" i="5"/>
  <c r="Q906" i="5"/>
  <c r="P906" i="5"/>
  <c r="O906" i="5"/>
  <c r="R905" i="5"/>
  <c r="Q905" i="5"/>
  <c r="P905" i="5"/>
  <c r="O905" i="5"/>
  <c r="R904" i="5"/>
  <c r="Q904" i="5"/>
  <c r="P904" i="5"/>
  <c r="O904" i="5"/>
  <c r="R903" i="5"/>
  <c r="Q903" i="5"/>
  <c r="P903" i="5"/>
  <c r="O903" i="5"/>
  <c r="R902" i="5"/>
  <c r="Q902" i="5"/>
  <c r="P902" i="5"/>
  <c r="O902" i="5"/>
  <c r="R901" i="5"/>
  <c r="Q901" i="5"/>
  <c r="P901" i="5"/>
  <c r="O901" i="5"/>
  <c r="R900" i="5"/>
  <c r="Q900" i="5"/>
  <c r="P900" i="5"/>
  <c r="O900" i="5"/>
  <c r="R899" i="5"/>
  <c r="Q899" i="5"/>
  <c r="P899" i="5"/>
  <c r="O899" i="5"/>
  <c r="R898" i="5"/>
  <c r="Q898" i="5"/>
  <c r="P898" i="5"/>
  <c r="O898" i="5"/>
  <c r="R897" i="5"/>
  <c r="Q897" i="5"/>
  <c r="P897" i="5"/>
  <c r="O897" i="5"/>
  <c r="R896" i="5"/>
  <c r="Q896" i="5"/>
  <c r="P896" i="5"/>
  <c r="O896" i="5"/>
  <c r="R895" i="5"/>
  <c r="Q895" i="5"/>
  <c r="P895" i="5"/>
  <c r="O895" i="5"/>
  <c r="R894" i="5"/>
  <c r="Q894" i="5"/>
  <c r="P894" i="5"/>
  <c r="O894" i="5"/>
  <c r="R893" i="5"/>
  <c r="Q893" i="5"/>
  <c r="P893" i="5"/>
  <c r="O893" i="5"/>
  <c r="R892" i="5"/>
  <c r="Q892" i="5"/>
  <c r="P892" i="5"/>
  <c r="O892" i="5"/>
  <c r="R891" i="5"/>
  <c r="Q891" i="5"/>
  <c r="P891" i="5"/>
  <c r="O891" i="5"/>
  <c r="R890" i="5"/>
  <c r="Q890" i="5"/>
  <c r="P890" i="5"/>
  <c r="O890" i="5"/>
  <c r="R889" i="5"/>
  <c r="Q889" i="5"/>
  <c r="P889" i="5"/>
  <c r="O889" i="5"/>
  <c r="R888" i="5"/>
  <c r="Q888" i="5"/>
  <c r="P888" i="5"/>
  <c r="O888" i="5"/>
  <c r="R887" i="5"/>
  <c r="Q887" i="5"/>
  <c r="P887" i="5"/>
  <c r="O887" i="5"/>
  <c r="R886" i="5"/>
  <c r="Q886" i="5"/>
  <c r="P886" i="5"/>
  <c r="O886" i="5"/>
  <c r="R885" i="5"/>
  <c r="Q885" i="5"/>
  <c r="P885" i="5"/>
  <c r="O885" i="5"/>
  <c r="R884" i="5"/>
  <c r="Q884" i="5"/>
  <c r="P884" i="5"/>
  <c r="O884" i="5"/>
  <c r="R883" i="5"/>
  <c r="Q883" i="5"/>
  <c r="P883" i="5"/>
  <c r="O883" i="5"/>
  <c r="R882" i="5"/>
  <c r="Q882" i="5"/>
  <c r="P882" i="5"/>
  <c r="O882" i="5"/>
  <c r="R881" i="5"/>
  <c r="Q881" i="5"/>
  <c r="P881" i="5"/>
  <c r="O881" i="5"/>
  <c r="R880" i="5"/>
  <c r="Q880" i="5"/>
  <c r="P880" i="5"/>
  <c r="O880" i="5"/>
  <c r="R879" i="5"/>
  <c r="Q879" i="5"/>
  <c r="P879" i="5"/>
  <c r="O879" i="5"/>
  <c r="R878" i="5"/>
  <c r="Q878" i="5"/>
  <c r="P878" i="5"/>
  <c r="O878" i="5"/>
  <c r="R877" i="5"/>
  <c r="Q877" i="5"/>
  <c r="P877" i="5"/>
  <c r="O877" i="5"/>
  <c r="R876" i="5"/>
  <c r="Q876" i="5"/>
  <c r="P876" i="5"/>
  <c r="O876" i="5"/>
  <c r="R875" i="5"/>
  <c r="Q875" i="5"/>
  <c r="P875" i="5"/>
  <c r="O875" i="5"/>
  <c r="R874" i="5"/>
  <c r="Q874" i="5"/>
  <c r="P874" i="5"/>
  <c r="O874" i="5"/>
  <c r="R873" i="5"/>
  <c r="Q873" i="5"/>
  <c r="P873" i="5"/>
  <c r="O873" i="5"/>
  <c r="R872" i="5"/>
  <c r="Q872" i="5"/>
  <c r="P872" i="5"/>
  <c r="O872" i="5"/>
  <c r="R871" i="5"/>
  <c r="Q871" i="5"/>
  <c r="P871" i="5"/>
  <c r="O871" i="5"/>
  <c r="R870" i="5"/>
  <c r="Q870" i="5"/>
  <c r="P870" i="5"/>
  <c r="O870" i="5"/>
  <c r="R869" i="5"/>
  <c r="Q869" i="5"/>
  <c r="P869" i="5"/>
  <c r="O869" i="5"/>
  <c r="R868" i="5"/>
  <c r="Q868" i="5"/>
  <c r="P868" i="5"/>
  <c r="O868" i="5"/>
  <c r="R867" i="5"/>
  <c r="Q867" i="5"/>
  <c r="P867" i="5"/>
  <c r="O867" i="5"/>
  <c r="R866" i="5"/>
  <c r="Q866" i="5"/>
  <c r="P866" i="5"/>
  <c r="O866" i="5"/>
  <c r="R865" i="5"/>
  <c r="Q865" i="5"/>
  <c r="P865" i="5"/>
  <c r="O865" i="5"/>
  <c r="R864" i="5"/>
  <c r="Q864" i="5"/>
  <c r="P864" i="5"/>
  <c r="O864" i="5"/>
  <c r="R863" i="5"/>
  <c r="Q863" i="5"/>
  <c r="P863" i="5"/>
  <c r="O863" i="5"/>
  <c r="R862" i="5"/>
  <c r="Q862" i="5"/>
  <c r="P862" i="5"/>
  <c r="O862" i="5"/>
  <c r="R861" i="5"/>
  <c r="Q861" i="5"/>
  <c r="P861" i="5"/>
  <c r="O861" i="5"/>
  <c r="R860" i="5"/>
  <c r="Q860" i="5"/>
  <c r="P860" i="5"/>
  <c r="O860" i="5"/>
  <c r="R859" i="5"/>
  <c r="Q859" i="5"/>
  <c r="P859" i="5"/>
  <c r="O859" i="5"/>
  <c r="R858" i="5"/>
  <c r="Q858" i="5"/>
  <c r="P858" i="5"/>
  <c r="O858" i="5"/>
  <c r="R857" i="5"/>
  <c r="Q857" i="5"/>
  <c r="P857" i="5"/>
  <c r="O857" i="5"/>
  <c r="R856" i="5"/>
  <c r="Q856" i="5"/>
  <c r="P856" i="5"/>
  <c r="O856" i="5"/>
  <c r="R855" i="5"/>
  <c r="Q855" i="5"/>
  <c r="P855" i="5"/>
  <c r="O855" i="5"/>
  <c r="R854" i="5"/>
  <c r="Q854" i="5"/>
  <c r="P854" i="5"/>
  <c r="O854" i="5"/>
  <c r="R853" i="5"/>
  <c r="Q853" i="5"/>
  <c r="P853" i="5"/>
  <c r="O853" i="5"/>
  <c r="R852" i="5"/>
  <c r="Q852" i="5"/>
  <c r="P852" i="5"/>
  <c r="O852" i="5"/>
  <c r="R851" i="5"/>
  <c r="Q851" i="5"/>
  <c r="P851" i="5"/>
  <c r="O851" i="5"/>
  <c r="R850" i="5"/>
  <c r="Q850" i="5"/>
  <c r="P850" i="5"/>
  <c r="O850" i="5"/>
  <c r="R849" i="5"/>
  <c r="Q849" i="5"/>
  <c r="P849" i="5"/>
  <c r="O849" i="5"/>
  <c r="R848" i="5"/>
  <c r="Q848" i="5"/>
  <c r="P848" i="5"/>
  <c r="O848" i="5"/>
  <c r="R847" i="5"/>
  <c r="Q847" i="5"/>
  <c r="P847" i="5"/>
  <c r="O847" i="5"/>
  <c r="R846" i="5"/>
  <c r="Q846" i="5"/>
  <c r="P846" i="5"/>
  <c r="O846" i="5"/>
  <c r="R845" i="5"/>
  <c r="Q845" i="5"/>
  <c r="P845" i="5"/>
  <c r="O845" i="5"/>
  <c r="R844" i="5"/>
  <c r="Q844" i="5"/>
  <c r="P844" i="5"/>
  <c r="O844" i="5"/>
  <c r="R843" i="5"/>
  <c r="Q843" i="5"/>
  <c r="P843" i="5"/>
  <c r="O843" i="5"/>
  <c r="R842" i="5"/>
  <c r="Q842" i="5"/>
  <c r="P842" i="5"/>
  <c r="O842" i="5"/>
  <c r="R841" i="5"/>
  <c r="Q841" i="5"/>
  <c r="P841" i="5"/>
  <c r="O841" i="5"/>
  <c r="R840" i="5"/>
  <c r="Q840" i="5"/>
  <c r="P840" i="5"/>
  <c r="O840" i="5"/>
  <c r="R839" i="5"/>
  <c r="Q839" i="5"/>
  <c r="P839" i="5"/>
  <c r="O839" i="5"/>
  <c r="R838" i="5"/>
  <c r="Q838" i="5"/>
  <c r="P838" i="5"/>
  <c r="O838" i="5"/>
  <c r="R837" i="5"/>
  <c r="Q837" i="5"/>
  <c r="P837" i="5"/>
  <c r="O837" i="5"/>
  <c r="R836" i="5"/>
  <c r="Q836" i="5"/>
  <c r="P836" i="5"/>
  <c r="O836" i="5"/>
  <c r="R835" i="5"/>
  <c r="Q835" i="5"/>
  <c r="P835" i="5"/>
  <c r="O835" i="5"/>
  <c r="R834" i="5"/>
  <c r="Q834" i="5"/>
  <c r="P834" i="5"/>
  <c r="O834" i="5"/>
  <c r="R833" i="5"/>
  <c r="Q833" i="5"/>
  <c r="P833" i="5"/>
  <c r="O833" i="5"/>
  <c r="R832" i="5"/>
  <c r="Q832" i="5"/>
  <c r="P832" i="5"/>
  <c r="O832" i="5"/>
  <c r="R831" i="5"/>
  <c r="Q831" i="5"/>
  <c r="P831" i="5"/>
  <c r="O831" i="5"/>
  <c r="R830" i="5"/>
  <c r="Q830" i="5"/>
  <c r="P830" i="5"/>
  <c r="O830" i="5"/>
  <c r="R829" i="5"/>
  <c r="Q829" i="5"/>
  <c r="P829" i="5"/>
  <c r="O829" i="5"/>
  <c r="R828" i="5"/>
  <c r="Q828" i="5"/>
  <c r="P828" i="5"/>
  <c r="O828" i="5"/>
  <c r="R827" i="5"/>
  <c r="Q827" i="5"/>
  <c r="P827" i="5"/>
  <c r="O827" i="5"/>
  <c r="R826" i="5"/>
  <c r="Q826" i="5"/>
  <c r="P826" i="5"/>
  <c r="O826" i="5"/>
  <c r="R825" i="5"/>
  <c r="Q825" i="5"/>
  <c r="P825" i="5"/>
  <c r="O825" i="5"/>
  <c r="R824" i="5"/>
  <c r="Q824" i="5"/>
  <c r="P824" i="5"/>
  <c r="O824" i="5"/>
  <c r="R823" i="5"/>
  <c r="Q823" i="5"/>
  <c r="P823" i="5"/>
  <c r="O823" i="5"/>
  <c r="R822" i="5"/>
  <c r="Q822" i="5"/>
  <c r="P822" i="5"/>
  <c r="O822" i="5"/>
  <c r="R821" i="5"/>
  <c r="Q821" i="5"/>
  <c r="P821" i="5"/>
  <c r="O821" i="5"/>
  <c r="R820" i="5"/>
  <c r="Q820" i="5"/>
  <c r="P820" i="5"/>
  <c r="O820" i="5"/>
  <c r="R819" i="5"/>
  <c r="Q819" i="5"/>
  <c r="P819" i="5"/>
  <c r="O819" i="5"/>
  <c r="R818" i="5"/>
  <c r="Q818" i="5"/>
  <c r="P818" i="5"/>
  <c r="O818" i="5"/>
  <c r="R817" i="5"/>
  <c r="Q817" i="5"/>
  <c r="P817" i="5"/>
  <c r="O817" i="5"/>
  <c r="R816" i="5"/>
  <c r="Q816" i="5"/>
  <c r="P816" i="5"/>
  <c r="O816" i="5"/>
  <c r="R815" i="5"/>
  <c r="Q815" i="5"/>
  <c r="P815" i="5"/>
  <c r="O815" i="5"/>
  <c r="R814" i="5"/>
  <c r="Q814" i="5"/>
  <c r="P814" i="5"/>
  <c r="O814" i="5"/>
  <c r="R813" i="5"/>
  <c r="Q813" i="5"/>
  <c r="P813" i="5"/>
  <c r="O813" i="5"/>
  <c r="R812" i="5"/>
  <c r="Q812" i="5"/>
  <c r="P812" i="5"/>
  <c r="O812" i="5"/>
  <c r="R811" i="5"/>
  <c r="Q811" i="5"/>
  <c r="P811" i="5"/>
  <c r="O811" i="5"/>
  <c r="R810" i="5"/>
  <c r="Q810" i="5"/>
  <c r="P810" i="5"/>
  <c r="O810" i="5"/>
  <c r="R809" i="5"/>
  <c r="Q809" i="5"/>
  <c r="P809" i="5"/>
  <c r="O809" i="5"/>
  <c r="R808" i="5"/>
  <c r="Q808" i="5"/>
  <c r="P808" i="5"/>
  <c r="O808" i="5"/>
  <c r="R807" i="5"/>
  <c r="Q807" i="5"/>
  <c r="P807" i="5"/>
  <c r="O807" i="5"/>
  <c r="R806" i="5"/>
  <c r="Q806" i="5"/>
  <c r="P806" i="5"/>
  <c r="O806" i="5"/>
  <c r="R805" i="5"/>
  <c r="Q805" i="5"/>
  <c r="P805" i="5"/>
  <c r="O805" i="5"/>
  <c r="R804" i="5"/>
  <c r="Q804" i="5"/>
  <c r="P804" i="5"/>
  <c r="O804" i="5"/>
  <c r="R803" i="5"/>
  <c r="Q803" i="5"/>
  <c r="P803" i="5"/>
  <c r="O803" i="5"/>
  <c r="R802" i="5"/>
  <c r="Q802" i="5"/>
  <c r="P802" i="5"/>
  <c r="O802" i="5"/>
  <c r="R801" i="5"/>
  <c r="Q801" i="5"/>
  <c r="P801" i="5"/>
  <c r="O801" i="5"/>
  <c r="R800" i="5"/>
  <c r="Q800" i="5"/>
  <c r="P800" i="5"/>
  <c r="O800" i="5"/>
  <c r="R799" i="5"/>
  <c r="Q799" i="5"/>
  <c r="P799" i="5"/>
  <c r="O799" i="5"/>
  <c r="R798" i="5"/>
  <c r="Q798" i="5"/>
  <c r="P798" i="5"/>
  <c r="O798" i="5"/>
  <c r="R797" i="5"/>
  <c r="Q797" i="5"/>
  <c r="P797" i="5"/>
  <c r="O797" i="5"/>
  <c r="R796" i="5"/>
  <c r="Q796" i="5"/>
  <c r="P796" i="5"/>
  <c r="O796" i="5"/>
  <c r="R795" i="5"/>
  <c r="Q795" i="5"/>
  <c r="P795" i="5"/>
  <c r="O795" i="5"/>
  <c r="R794" i="5"/>
  <c r="Q794" i="5"/>
  <c r="P794" i="5"/>
  <c r="O794" i="5"/>
  <c r="R793" i="5"/>
  <c r="Q793" i="5"/>
  <c r="P793" i="5"/>
  <c r="O793" i="5"/>
  <c r="R792" i="5"/>
  <c r="Q792" i="5"/>
  <c r="P792" i="5"/>
  <c r="O792" i="5"/>
  <c r="R791" i="5"/>
  <c r="Q791" i="5"/>
  <c r="P791" i="5"/>
  <c r="O791" i="5"/>
  <c r="R790" i="5"/>
  <c r="Q790" i="5"/>
  <c r="P790" i="5"/>
  <c r="O790" i="5"/>
  <c r="R789" i="5"/>
  <c r="Q789" i="5"/>
  <c r="P789" i="5"/>
  <c r="O789" i="5"/>
  <c r="R788" i="5"/>
  <c r="Q788" i="5"/>
  <c r="P788" i="5"/>
  <c r="O788" i="5"/>
  <c r="R787" i="5"/>
  <c r="Q787" i="5"/>
  <c r="P787" i="5"/>
  <c r="O787" i="5"/>
  <c r="R786" i="5"/>
  <c r="Q786" i="5"/>
  <c r="P786" i="5"/>
  <c r="O786" i="5"/>
  <c r="R785" i="5"/>
  <c r="Q785" i="5"/>
  <c r="P785" i="5"/>
  <c r="O785" i="5"/>
  <c r="R784" i="5"/>
  <c r="Q784" i="5"/>
  <c r="P784" i="5"/>
  <c r="O784" i="5"/>
  <c r="R783" i="5"/>
  <c r="Q783" i="5"/>
  <c r="P783" i="5"/>
  <c r="O783" i="5"/>
  <c r="R782" i="5"/>
  <c r="Q782" i="5"/>
  <c r="P782" i="5"/>
  <c r="O782" i="5"/>
  <c r="R781" i="5"/>
  <c r="Q781" i="5"/>
  <c r="P781" i="5"/>
  <c r="O781" i="5"/>
  <c r="R780" i="5"/>
  <c r="Q780" i="5"/>
  <c r="P780" i="5"/>
  <c r="O780" i="5"/>
  <c r="R779" i="5"/>
  <c r="Q779" i="5"/>
  <c r="P779" i="5"/>
  <c r="O779" i="5"/>
  <c r="R778" i="5"/>
  <c r="Q778" i="5"/>
  <c r="P778" i="5"/>
  <c r="O778" i="5"/>
  <c r="R777" i="5"/>
  <c r="Q777" i="5"/>
  <c r="P777" i="5"/>
  <c r="O777" i="5"/>
  <c r="R776" i="5"/>
  <c r="Q776" i="5"/>
  <c r="P776" i="5"/>
  <c r="O776" i="5"/>
  <c r="R775" i="5"/>
  <c r="Q775" i="5"/>
  <c r="P775" i="5"/>
  <c r="O775" i="5"/>
  <c r="R774" i="5"/>
  <c r="Q774" i="5"/>
  <c r="P774" i="5"/>
  <c r="O774" i="5"/>
  <c r="R773" i="5"/>
  <c r="Q773" i="5"/>
  <c r="P773" i="5"/>
  <c r="O773" i="5"/>
  <c r="R772" i="5"/>
  <c r="Q772" i="5"/>
  <c r="P772" i="5"/>
  <c r="O772" i="5"/>
  <c r="R771" i="5"/>
  <c r="Q771" i="5"/>
  <c r="P771" i="5"/>
  <c r="O771" i="5"/>
  <c r="R770" i="5"/>
  <c r="Q770" i="5"/>
  <c r="P770" i="5"/>
  <c r="O770" i="5"/>
  <c r="R769" i="5"/>
  <c r="Q769" i="5"/>
  <c r="P769" i="5"/>
  <c r="O769" i="5"/>
  <c r="R768" i="5"/>
  <c r="Q768" i="5"/>
  <c r="P768" i="5"/>
  <c r="O768" i="5"/>
  <c r="R767" i="5"/>
  <c r="Q767" i="5"/>
  <c r="P767" i="5"/>
  <c r="O767" i="5"/>
  <c r="R766" i="5"/>
  <c r="Q766" i="5"/>
  <c r="P766" i="5"/>
  <c r="O766" i="5"/>
  <c r="R765" i="5"/>
  <c r="Q765" i="5"/>
  <c r="P765" i="5"/>
  <c r="O765" i="5"/>
  <c r="R764" i="5"/>
  <c r="Q764" i="5"/>
  <c r="P764" i="5"/>
  <c r="O764" i="5"/>
  <c r="R763" i="5"/>
  <c r="Q763" i="5"/>
  <c r="P763" i="5"/>
  <c r="O763" i="5"/>
  <c r="R762" i="5"/>
  <c r="Q762" i="5"/>
  <c r="P762" i="5"/>
  <c r="O762" i="5"/>
  <c r="R761" i="5"/>
  <c r="Q761" i="5"/>
  <c r="P761" i="5"/>
  <c r="O761" i="5"/>
  <c r="R760" i="5"/>
  <c r="Q760" i="5"/>
  <c r="P760" i="5"/>
  <c r="O760" i="5"/>
  <c r="R759" i="5"/>
  <c r="Q759" i="5"/>
  <c r="P759" i="5"/>
  <c r="O759" i="5"/>
  <c r="R758" i="5"/>
  <c r="Q758" i="5"/>
  <c r="P758" i="5"/>
  <c r="O758" i="5"/>
  <c r="R757" i="5"/>
  <c r="Q757" i="5"/>
  <c r="P757" i="5"/>
  <c r="O757" i="5"/>
  <c r="R756" i="5"/>
  <c r="Q756" i="5"/>
  <c r="P756" i="5"/>
  <c r="O756" i="5"/>
  <c r="R755" i="5"/>
  <c r="Q755" i="5"/>
  <c r="P755" i="5"/>
  <c r="O755" i="5"/>
  <c r="R754" i="5"/>
  <c r="Q754" i="5"/>
  <c r="P754" i="5"/>
  <c r="O754" i="5"/>
  <c r="R753" i="5"/>
  <c r="Q753" i="5"/>
  <c r="P753" i="5"/>
  <c r="O753" i="5"/>
  <c r="R752" i="5"/>
  <c r="Q752" i="5"/>
  <c r="P752" i="5"/>
  <c r="O752" i="5"/>
  <c r="R751" i="5"/>
  <c r="Q751" i="5"/>
  <c r="P751" i="5"/>
  <c r="O751" i="5"/>
  <c r="R750" i="5"/>
  <c r="Q750" i="5"/>
  <c r="P750" i="5"/>
  <c r="O750" i="5"/>
  <c r="R749" i="5"/>
  <c r="Q749" i="5"/>
  <c r="P749" i="5"/>
  <c r="O749" i="5"/>
  <c r="R748" i="5"/>
  <c r="Q748" i="5"/>
  <c r="P748" i="5"/>
  <c r="O748" i="5"/>
  <c r="R747" i="5"/>
  <c r="Q747" i="5"/>
  <c r="P747" i="5"/>
  <c r="O747" i="5"/>
  <c r="R746" i="5"/>
  <c r="Q746" i="5"/>
  <c r="P746" i="5"/>
  <c r="O746" i="5"/>
  <c r="R745" i="5"/>
  <c r="Q745" i="5"/>
  <c r="P745" i="5"/>
  <c r="O745" i="5"/>
  <c r="R744" i="5"/>
  <c r="Q744" i="5"/>
  <c r="P744" i="5"/>
  <c r="O744" i="5"/>
  <c r="R743" i="5"/>
  <c r="Q743" i="5"/>
  <c r="P743" i="5"/>
  <c r="O743" i="5"/>
  <c r="R742" i="5"/>
  <c r="Q742" i="5"/>
  <c r="P742" i="5"/>
  <c r="O742" i="5"/>
  <c r="R741" i="5"/>
  <c r="Q741" i="5"/>
  <c r="P741" i="5"/>
  <c r="O741" i="5"/>
  <c r="R740" i="5"/>
  <c r="Q740" i="5"/>
  <c r="P740" i="5"/>
  <c r="O740" i="5"/>
  <c r="R739" i="5"/>
  <c r="Q739" i="5"/>
  <c r="P739" i="5"/>
  <c r="O739" i="5"/>
  <c r="R738" i="5"/>
  <c r="Q738" i="5"/>
  <c r="P738" i="5"/>
  <c r="O738" i="5"/>
  <c r="R737" i="5"/>
  <c r="Q737" i="5"/>
  <c r="P737" i="5"/>
  <c r="O737" i="5"/>
  <c r="R736" i="5"/>
  <c r="Q736" i="5"/>
  <c r="P736" i="5"/>
  <c r="O736" i="5"/>
  <c r="R735" i="5"/>
  <c r="Q735" i="5"/>
  <c r="P735" i="5"/>
  <c r="O735" i="5"/>
  <c r="R734" i="5"/>
  <c r="Q734" i="5"/>
  <c r="P734" i="5"/>
  <c r="O734" i="5"/>
  <c r="R733" i="5"/>
  <c r="Q733" i="5"/>
  <c r="P733" i="5"/>
  <c r="O733" i="5"/>
  <c r="R732" i="5"/>
  <c r="Q732" i="5"/>
  <c r="P732" i="5"/>
  <c r="O732" i="5"/>
  <c r="R731" i="5"/>
  <c r="Q731" i="5"/>
  <c r="P731" i="5"/>
  <c r="O731" i="5"/>
  <c r="R730" i="5"/>
  <c r="Q730" i="5"/>
  <c r="P730" i="5"/>
  <c r="O730" i="5"/>
  <c r="R729" i="5"/>
  <c r="Q729" i="5"/>
  <c r="P729" i="5"/>
  <c r="O729" i="5"/>
  <c r="R728" i="5"/>
  <c r="Q728" i="5"/>
  <c r="P728" i="5"/>
  <c r="O728" i="5"/>
  <c r="R727" i="5"/>
  <c r="Q727" i="5"/>
  <c r="P727" i="5"/>
  <c r="O727" i="5"/>
  <c r="R726" i="5"/>
  <c r="Q726" i="5"/>
  <c r="P726" i="5"/>
  <c r="O726" i="5"/>
  <c r="R725" i="5"/>
  <c r="Q725" i="5"/>
  <c r="P725" i="5"/>
  <c r="O725" i="5"/>
  <c r="R724" i="5"/>
  <c r="Q724" i="5"/>
  <c r="P724" i="5"/>
  <c r="O724" i="5"/>
  <c r="R723" i="5"/>
  <c r="Q723" i="5"/>
  <c r="P723" i="5"/>
  <c r="O723" i="5"/>
  <c r="R722" i="5"/>
  <c r="Q722" i="5"/>
  <c r="P722" i="5"/>
  <c r="O722" i="5"/>
  <c r="R721" i="5"/>
  <c r="Q721" i="5"/>
  <c r="P721" i="5"/>
  <c r="O721" i="5"/>
  <c r="R720" i="5"/>
  <c r="Q720" i="5"/>
  <c r="P720" i="5"/>
  <c r="O720" i="5"/>
  <c r="R719" i="5"/>
  <c r="Q719" i="5"/>
  <c r="P719" i="5"/>
  <c r="O719" i="5"/>
  <c r="R718" i="5"/>
  <c r="Q718" i="5"/>
  <c r="P718" i="5"/>
  <c r="O718" i="5"/>
  <c r="R717" i="5"/>
  <c r="Q717" i="5"/>
  <c r="P717" i="5"/>
  <c r="O717" i="5"/>
  <c r="R716" i="5"/>
  <c r="Q716" i="5"/>
  <c r="P716" i="5"/>
  <c r="O716" i="5"/>
  <c r="R715" i="5"/>
  <c r="Q715" i="5"/>
  <c r="P715" i="5"/>
  <c r="O715" i="5"/>
  <c r="R714" i="5"/>
  <c r="Q714" i="5"/>
  <c r="P714" i="5"/>
  <c r="O714" i="5"/>
  <c r="R713" i="5"/>
  <c r="Q713" i="5"/>
  <c r="P713" i="5"/>
  <c r="O713" i="5"/>
  <c r="R712" i="5"/>
  <c r="Q712" i="5"/>
  <c r="P712" i="5"/>
  <c r="O712" i="5"/>
  <c r="R711" i="5"/>
  <c r="Q711" i="5"/>
  <c r="P711" i="5"/>
  <c r="O711" i="5"/>
  <c r="R710" i="5"/>
  <c r="Q710" i="5"/>
  <c r="P710" i="5"/>
  <c r="O710" i="5"/>
  <c r="R709" i="5"/>
  <c r="Q709" i="5"/>
  <c r="P709" i="5"/>
  <c r="O709" i="5"/>
  <c r="R708" i="5"/>
  <c r="Q708" i="5"/>
  <c r="P708" i="5"/>
  <c r="O708" i="5"/>
  <c r="R707" i="5"/>
  <c r="Q707" i="5"/>
  <c r="P707" i="5"/>
  <c r="O707" i="5"/>
  <c r="R706" i="5"/>
  <c r="Q706" i="5"/>
  <c r="P706" i="5"/>
  <c r="O706" i="5"/>
  <c r="R705" i="5"/>
  <c r="Q705" i="5"/>
  <c r="P705" i="5"/>
  <c r="O705" i="5"/>
  <c r="R704" i="5"/>
  <c r="Q704" i="5"/>
  <c r="P704" i="5"/>
  <c r="O704" i="5"/>
  <c r="R703" i="5"/>
  <c r="Q703" i="5"/>
  <c r="P703" i="5"/>
  <c r="O703" i="5"/>
  <c r="R702" i="5"/>
  <c r="Q702" i="5"/>
  <c r="P702" i="5"/>
  <c r="O702" i="5"/>
  <c r="R701" i="5"/>
  <c r="Q701" i="5"/>
  <c r="P701" i="5"/>
  <c r="O701" i="5"/>
  <c r="R700" i="5"/>
  <c r="Q700" i="5"/>
  <c r="P700" i="5"/>
  <c r="O700" i="5"/>
  <c r="R699" i="5"/>
  <c r="Q699" i="5"/>
  <c r="P699" i="5"/>
  <c r="O699" i="5"/>
  <c r="R698" i="5"/>
  <c r="Q698" i="5"/>
  <c r="P698" i="5"/>
  <c r="O698" i="5"/>
  <c r="R697" i="5"/>
  <c r="Q697" i="5"/>
  <c r="P697" i="5"/>
  <c r="O697" i="5"/>
  <c r="R696" i="5"/>
  <c r="Q696" i="5"/>
  <c r="P696" i="5"/>
  <c r="O696" i="5"/>
  <c r="R695" i="5"/>
  <c r="Q695" i="5"/>
  <c r="P695" i="5"/>
  <c r="O695" i="5"/>
  <c r="R694" i="5"/>
  <c r="Q694" i="5"/>
  <c r="P694" i="5"/>
  <c r="O694" i="5"/>
  <c r="R693" i="5"/>
  <c r="Q693" i="5"/>
  <c r="P693" i="5"/>
  <c r="O693" i="5"/>
  <c r="R692" i="5"/>
  <c r="Q692" i="5"/>
  <c r="P692" i="5"/>
  <c r="O692" i="5"/>
  <c r="R691" i="5"/>
  <c r="Q691" i="5"/>
  <c r="P691" i="5"/>
  <c r="O691" i="5"/>
  <c r="R690" i="5"/>
  <c r="Q690" i="5"/>
  <c r="P690" i="5"/>
  <c r="O690" i="5"/>
  <c r="R689" i="5"/>
  <c r="Q689" i="5"/>
  <c r="P689" i="5"/>
  <c r="O689" i="5"/>
  <c r="R688" i="5"/>
  <c r="Q688" i="5"/>
  <c r="P688" i="5"/>
  <c r="O688" i="5"/>
  <c r="R687" i="5"/>
  <c r="Q687" i="5"/>
  <c r="P687" i="5"/>
  <c r="O687" i="5"/>
  <c r="R686" i="5"/>
  <c r="Q686" i="5"/>
  <c r="P686" i="5"/>
  <c r="O686" i="5"/>
  <c r="R685" i="5"/>
  <c r="Q685" i="5"/>
  <c r="P685" i="5"/>
  <c r="O685" i="5"/>
  <c r="R684" i="5"/>
  <c r="Q684" i="5"/>
  <c r="P684" i="5"/>
  <c r="O684" i="5"/>
  <c r="R683" i="5"/>
  <c r="Q683" i="5"/>
  <c r="P683" i="5"/>
  <c r="O683" i="5"/>
  <c r="R682" i="5"/>
  <c r="Q682" i="5"/>
  <c r="P682" i="5"/>
  <c r="O682" i="5"/>
  <c r="R681" i="5"/>
  <c r="Q681" i="5"/>
  <c r="P681" i="5"/>
  <c r="O681" i="5"/>
  <c r="R680" i="5"/>
  <c r="Q680" i="5"/>
  <c r="P680" i="5"/>
  <c r="O680" i="5"/>
  <c r="R679" i="5"/>
  <c r="Q679" i="5"/>
  <c r="P679" i="5"/>
  <c r="O679" i="5"/>
  <c r="R678" i="5"/>
  <c r="Q678" i="5"/>
  <c r="P678" i="5"/>
  <c r="O678" i="5"/>
  <c r="R677" i="5"/>
  <c r="Q677" i="5"/>
  <c r="P677" i="5"/>
  <c r="O677" i="5"/>
  <c r="R676" i="5"/>
  <c r="Q676" i="5"/>
  <c r="P676" i="5"/>
  <c r="O676" i="5"/>
  <c r="R675" i="5"/>
  <c r="Q675" i="5"/>
  <c r="P675" i="5"/>
  <c r="O675" i="5"/>
  <c r="R674" i="5"/>
  <c r="Q674" i="5"/>
  <c r="P674" i="5"/>
  <c r="O674" i="5"/>
  <c r="R673" i="5"/>
  <c r="Q673" i="5"/>
  <c r="P673" i="5"/>
  <c r="O673" i="5"/>
  <c r="R672" i="5"/>
  <c r="Q672" i="5"/>
  <c r="P672" i="5"/>
  <c r="O672" i="5"/>
  <c r="R671" i="5"/>
  <c r="Q671" i="5"/>
  <c r="P671" i="5"/>
  <c r="O671" i="5"/>
  <c r="R670" i="5"/>
  <c r="Q670" i="5"/>
  <c r="P670" i="5"/>
  <c r="O670" i="5"/>
  <c r="R669" i="5"/>
  <c r="Q669" i="5"/>
  <c r="P669" i="5"/>
  <c r="O669" i="5"/>
  <c r="R668" i="5"/>
  <c r="Q668" i="5"/>
  <c r="P668" i="5"/>
  <c r="O668" i="5"/>
  <c r="R667" i="5"/>
  <c r="Q667" i="5"/>
  <c r="P667" i="5"/>
  <c r="O667" i="5"/>
  <c r="R666" i="5"/>
  <c r="Q666" i="5"/>
  <c r="P666" i="5"/>
  <c r="O666" i="5"/>
  <c r="R665" i="5"/>
  <c r="Q665" i="5"/>
  <c r="P665" i="5"/>
  <c r="O665" i="5"/>
  <c r="R664" i="5"/>
  <c r="Q664" i="5"/>
  <c r="P664" i="5"/>
  <c r="O664" i="5"/>
  <c r="R663" i="5"/>
  <c r="Q663" i="5"/>
  <c r="P663" i="5"/>
  <c r="O663" i="5"/>
  <c r="R662" i="5"/>
  <c r="Q662" i="5"/>
  <c r="P662" i="5"/>
  <c r="O662" i="5"/>
  <c r="R661" i="5"/>
  <c r="Q661" i="5"/>
  <c r="P661" i="5"/>
  <c r="O661" i="5"/>
  <c r="R660" i="5"/>
  <c r="Q660" i="5"/>
  <c r="P660" i="5"/>
  <c r="O660" i="5"/>
  <c r="R659" i="5"/>
  <c r="Q659" i="5"/>
  <c r="P659" i="5"/>
  <c r="O659" i="5"/>
  <c r="R658" i="5"/>
  <c r="Q658" i="5"/>
  <c r="P658" i="5"/>
  <c r="O658" i="5"/>
  <c r="R657" i="5"/>
  <c r="Q657" i="5"/>
  <c r="P657" i="5"/>
  <c r="O657" i="5"/>
  <c r="R656" i="5"/>
  <c r="Q656" i="5"/>
  <c r="P656" i="5"/>
  <c r="O656" i="5"/>
  <c r="R655" i="5"/>
  <c r="Q655" i="5"/>
  <c r="P655" i="5"/>
  <c r="O655" i="5"/>
  <c r="R654" i="5"/>
  <c r="Q654" i="5"/>
  <c r="P654" i="5"/>
  <c r="O654" i="5"/>
  <c r="R653" i="5"/>
  <c r="Q653" i="5"/>
  <c r="P653" i="5"/>
  <c r="O653" i="5"/>
  <c r="R652" i="5"/>
  <c r="Q652" i="5"/>
  <c r="P652" i="5"/>
  <c r="O652" i="5"/>
  <c r="R651" i="5"/>
  <c r="Q651" i="5"/>
  <c r="P651" i="5"/>
  <c r="O651" i="5"/>
  <c r="R650" i="5"/>
  <c r="Q650" i="5"/>
  <c r="P650" i="5"/>
  <c r="O650" i="5"/>
  <c r="R649" i="5"/>
  <c r="Q649" i="5"/>
  <c r="P649" i="5"/>
  <c r="O649" i="5"/>
  <c r="R648" i="5"/>
  <c r="Q648" i="5"/>
  <c r="P648" i="5"/>
  <c r="O648" i="5"/>
  <c r="R647" i="5"/>
  <c r="Q647" i="5"/>
  <c r="P647" i="5"/>
  <c r="O647" i="5"/>
  <c r="R646" i="5"/>
  <c r="Q646" i="5"/>
  <c r="P646" i="5"/>
  <c r="O646" i="5"/>
  <c r="R645" i="5"/>
  <c r="Q645" i="5"/>
  <c r="P645" i="5"/>
  <c r="O645" i="5"/>
  <c r="R644" i="5"/>
  <c r="Q644" i="5"/>
  <c r="P644" i="5"/>
  <c r="O644" i="5"/>
  <c r="R643" i="5"/>
  <c r="Q643" i="5"/>
  <c r="P643" i="5"/>
  <c r="O643" i="5"/>
  <c r="R642" i="5"/>
  <c r="Q642" i="5"/>
  <c r="P642" i="5"/>
  <c r="O642" i="5"/>
  <c r="R641" i="5"/>
  <c r="Q641" i="5"/>
  <c r="P641" i="5"/>
  <c r="O641" i="5"/>
  <c r="R640" i="5"/>
  <c r="Q640" i="5"/>
  <c r="P640" i="5"/>
  <c r="O640" i="5"/>
  <c r="R639" i="5"/>
  <c r="Q639" i="5"/>
  <c r="P639" i="5"/>
  <c r="O639" i="5"/>
  <c r="R638" i="5"/>
  <c r="Q638" i="5"/>
  <c r="P638" i="5"/>
  <c r="O638" i="5"/>
  <c r="R637" i="5"/>
  <c r="Q637" i="5"/>
  <c r="P637" i="5"/>
  <c r="O637" i="5"/>
  <c r="R636" i="5"/>
  <c r="Q636" i="5"/>
  <c r="P636" i="5"/>
  <c r="O636" i="5"/>
  <c r="R635" i="5"/>
  <c r="Q635" i="5"/>
  <c r="P635" i="5"/>
  <c r="O635" i="5"/>
  <c r="R634" i="5"/>
  <c r="Q634" i="5"/>
  <c r="P634" i="5"/>
  <c r="O634" i="5"/>
  <c r="R633" i="5"/>
  <c r="Q633" i="5"/>
  <c r="P633" i="5"/>
  <c r="O633" i="5"/>
  <c r="R632" i="5"/>
  <c r="Q632" i="5"/>
  <c r="P632" i="5"/>
  <c r="O632" i="5"/>
  <c r="R631" i="5"/>
  <c r="Q631" i="5"/>
  <c r="P631" i="5"/>
  <c r="O631" i="5"/>
  <c r="R630" i="5"/>
  <c r="Q630" i="5"/>
  <c r="P630" i="5"/>
  <c r="O630" i="5"/>
  <c r="R629" i="5"/>
  <c r="Q629" i="5"/>
  <c r="P629" i="5"/>
  <c r="O629" i="5"/>
  <c r="R628" i="5"/>
  <c r="Q628" i="5"/>
  <c r="P628" i="5"/>
  <c r="O628" i="5"/>
  <c r="R627" i="5"/>
  <c r="Q627" i="5"/>
  <c r="P627" i="5"/>
  <c r="O627" i="5"/>
  <c r="R626" i="5"/>
  <c r="Q626" i="5"/>
  <c r="P626" i="5"/>
  <c r="O626" i="5"/>
  <c r="R625" i="5"/>
  <c r="Q625" i="5"/>
  <c r="P625" i="5"/>
  <c r="O625" i="5"/>
  <c r="R624" i="5"/>
  <c r="Q624" i="5"/>
  <c r="P624" i="5"/>
  <c r="O624" i="5"/>
  <c r="R623" i="5"/>
  <c r="Q623" i="5"/>
  <c r="P623" i="5"/>
  <c r="O623" i="5"/>
  <c r="R622" i="5"/>
  <c r="Q622" i="5"/>
  <c r="P622" i="5"/>
  <c r="O622" i="5"/>
  <c r="R621" i="5"/>
  <c r="Q621" i="5"/>
  <c r="P621" i="5"/>
  <c r="O621" i="5"/>
  <c r="R620" i="5"/>
  <c r="Q620" i="5"/>
  <c r="P620" i="5"/>
  <c r="O620" i="5"/>
  <c r="R619" i="5"/>
  <c r="Q619" i="5"/>
  <c r="P619" i="5"/>
  <c r="O619" i="5"/>
  <c r="R618" i="5"/>
  <c r="Q618" i="5"/>
  <c r="P618" i="5"/>
  <c r="O618" i="5"/>
  <c r="R617" i="5"/>
  <c r="Q617" i="5"/>
  <c r="P617" i="5"/>
  <c r="O617" i="5"/>
  <c r="R616" i="5"/>
  <c r="Q616" i="5"/>
  <c r="P616" i="5"/>
  <c r="O616" i="5"/>
  <c r="R615" i="5"/>
  <c r="Q615" i="5"/>
  <c r="P615" i="5"/>
  <c r="O615" i="5"/>
  <c r="R614" i="5"/>
  <c r="Q614" i="5"/>
  <c r="P614" i="5"/>
  <c r="O614" i="5"/>
  <c r="R613" i="5"/>
  <c r="Q613" i="5"/>
  <c r="P613" i="5"/>
  <c r="O613" i="5"/>
  <c r="R612" i="5"/>
  <c r="Q612" i="5"/>
  <c r="P612" i="5"/>
  <c r="O612" i="5"/>
  <c r="R611" i="5"/>
  <c r="Q611" i="5"/>
  <c r="P611" i="5"/>
  <c r="O611" i="5"/>
  <c r="R610" i="5"/>
  <c r="Q610" i="5"/>
  <c r="P610" i="5"/>
  <c r="O610" i="5"/>
  <c r="R609" i="5"/>
  <c r="Q609" i="5"/>
  <c r="P609" i="5"/>
  <c r="O609" i="5"/>
  <c r="R608" i="5"/>
  <c r="Q608" i="5"/>
  <c r="P608" i="5"/>
  <c r="O608" i="5"/>
  <c r="R607" i="5"/>
  <c r="Q607" i="5"/>
  <c r="P607" i="5"/>
  <c r="O607" i="5"/>
  <c r="R606" i="5"/>
  <c r="Q606" i="5"/>
  <c r="P606" i="5"/>
  <c r="O606" i="5"/>
  <c r="R605" i="5"/>
  <c r="Q605" i="5"/>
  <c r="P605" i="5"/>
  <c r="O605" i="5"/>
  <c r="R604" i="5"/>
  <c r="Q604" i="5"/>
  <c r="P604" i="5"/>
  <c r="O604" i="5"/>
  <c r="R603" i="5"/>
  <c r="Q603" i="5"/>
  <c r="P603" i="5"/>
  <c r="O603" i="5"/>
  <c r="R602" i="5"/>
  <c r="Q602" i="5"/>
  <c r="P602" i="5"/>
  <c r="O602" i="5"/>
  <c r="R601" i="5"/>
  <c r="Q601" i="5"/>
  <c r="P601" i="5"/>
  <c r="O601" i="5"/>
  <c r="R600" i="5"/>
  <c r="Q600" i="5"/>
  <c r="P600" i="5"/>
  <c r="O600" i="5"/>
  <c r="R599" i="5"/>
  <c r="Q599" i="5"/>
  <c r="P599" i="5"/>
  <c r="O599" i="5"/>
  <c r="R598" i="5"/>
  <c r="Q598" i="5"/>
  <c r="P598" i="5"/>
  <c r="O598" i="5"/>
  <c r="R597" i="5"/>
  <c r="Q597" i="5"/>
  <c r="P597" i="5"/>
  <c r="O597" i="5"/>
  <c r="R596" i="5"/>
  <c r="Q596" i="5"/>
  <c r="P596" i="5"/>
  <c r="O596" i="5"/>
  <c r="R595" i="5"/>
  <c r="Q595" i="5"/>
  <c r="P595" i="5"/>
  <c r="O595" i="5"/>
  <c r="R594" i="5"/>
  <c r="Q594" i="5"/>
  <c r="P594" i="5"/>
  <c r="O594" i="5"/>
  <c r="R593" i="5"/>
  <c r="Q593" i="5"/>
  <c r="P593" i="5"/>
  <c r="O593" i="5"/>
  <c r="R592" i="5"/>
  <c r="Q592" i="5"/>
  <c r="P592" i="5"/>
  <c r="O592" i="5"/>
  <c r="R591" i="5"/>
  <c r="Q591" i="5"/>
  <c r="P591" i="5"/>
  <c r="O591" i="5"/>
  <c r="R590" i="5"/>
  <c r="Q590" i="5"/>
  <c r="P590" i="5"/>
  <c r="O590" i="5"/>
  <c r="R589" i="5"/>
  <c r="Q589" i="5"/>
  <c r="P589" i="5"/>
  <c r="O589" i="5"/>
  <c r="R588" i="5"/>
  <c r="Q588" i="5"/>
  <c r="P588" i="5"/>
  <c r="O588" i="5"/>
  <c r="R587" i="5"/>
  <c r="Q587" i="5"/>
  <c r="P587" i="5"/>
  <c r="O587" i="5"/>
  <c r="R586" i="5"/>
  <c r="Q586" i="5"/>
  <c r="P586" i="5"/>
  <c r="O586" i="5"/>
  <c r="R585" i="5"/>
  <c r="Q585" i="5"/>
  <c r="P585" i="5"/>
  <c r="O585" i="5"/>
  <c r="R584" i="5"/>
  <c r="Q584" i="5"/>
  <c r="P584" i="5"/>
  <c r="O584" i="5"/>
  <c r="R583" i="5"/>
  <c r="Q583" i="5"/>
  <c r="P583" i="5"/>
  <c r="O583" i="5"/>
  <c r="R582" i="5"/>
  <c r="Q582" i="5"/>
  <c r="P582" i="5"/>
  <c r="O582" i="5"/>
  <c r="R581" i="5"/>
  <c r="Q581" i="5"/>
  <c r="P581" i="5"/>
  <c r="O581" i="5"/>
  <c r="R580" i="5"/>
  <c r="Q580" i="5"/>
  <c r="P580" i="5"/>
  <c r="O580" i="5"/>
  <c r="R579" i="5"/>
  <c r="Q579" i="5"/>
  <c r="P579" i="5"/>
  <c r="O579" i="5"/>
  <c r="R578" i="5"/>
  <c r="Q578" i="5"/>
  <c r="P578" i="5"/>
  <c r="O578" i="5"/>
  <c r="R577" i="5"/>
  <c r="Q577" i="5"/>
  <c r="P577" i="5"/>
  <c r="O577" i="5"/>
  <c r="R576" i="5"/>
  <c r="Q576" i="5"/>
  <c r="P576" i="5"/>
  <c r="O576" i="5"/>
  <c r="R575" i="5"/>
  <c r="Q575" i="5"/>
  <c r="P575" i="5"/>
  <c r="O575" i="5"/>
  <c r="R574" i="5"/>
  <c r="Q574" i="5"/>
  <c r="P574" i="5"/>
  <c r="O574" i="5"/>
  <c r="R573" i="5"/>
  <c r="Q573" i="5"/>
  <c r="P573" i="5"/>
  <c r="O573" i="5"/>
  <c r="R572" i="5"/>
  <c r="Q572" i="5"/>
  <c r="P572" i="5"/>
  <c r="O572" i="5"/>
  <c r="R571" i="5"/>
  <c r="Q571" i="5"/>
  <c r="P571" i="5"/>
  <c r="O571" i="5"/>
  <c r="R570" i="5"/>
  <c r="Q570" i="5"/>
  <c r="P570" i="5"/>
  <c r="O570" i="5"/>
  <c r="R569" i="5"/>
  <c r="Q569" i="5"/>
  <c r="P569" i="5"/>
  <c r="O569" i="5"/>
  <c r="R568" i="5"/>
  <c r="Q568" i="5"/>
  <c r="P568" i="5"/>
  <c r="O568" i="5"/>
  <c r="R567" i="5"/>
  <c r="Q567" i="5"/>
  <c r="P567" i="5"/>
  <c r="O567" i="5"/>
  <c r="R566" i="5"/>
  <c r="Q566" i="5"/>
  <c r="P566" i="5"/>
  <c r="O566" i="5"/>
  <c r="R565" i="5"/>
  <c r="Q565" i="5"/>
  <c r="P565" i="5"/>
  <c r="O565" i="5"/>
  <c r="R564" i="5"/>
  <c r="Q564" i="5"/>
  <c r="P564" i="5"/>
  <c r="O564" i="5"/>
  <c r="R563" i="5"/>
  <c r="Q563" i="5"/>
  <c r="P563" i="5"/>
  <c r="O563" i="5"/>
  <c r="R562" i="5"/>
  <c r="Q562" i="5"/>
  <c r="P562" i="5"/>
  <c r="O562" i="5"/>
  <c r="R561" i="5"/>
  <c r="Q561" i="5"/>
  <c r="P561" i="5"/>
  <c r="O561" i="5"/>
  <c r="R560" i="5"/>
  <c r="Q560" i="5"/>
  <c r="P560" i="5"/>
  <c r="O560" i="5"/>
  <c r="R559" i="5"/>
  <c r="Q559" i="5"/>
  <c r="P559" i="5"/>
  <c r="O559" i="5"/>
  <c r="R558" i="5"/>
  <c r="Q558" i="5"/>
  <c r="P558" i="5"/>
  <c r="O558" i="5"/>
  <c r="R557" i="5"/>
  <c r="Q557" i="5"/>
  <c r="P557" i="5"/>
  <c r="O557" i="5"/>
  <c r="R556" i="5"/>
  <c r="Q556" i="5"/>
  <c r="P556" i="5"/>
  <c r="O556" i="5"/>
  <c r="R555" i="5"/>
  <c r="Q555" i="5"/>
  <c r="P555" i="5"/>
  <c r="O555" i="5"/>
  <c r="R554" i="5"/>
  <c r="Q554" i="5"/>
  <c r="P554" i="5"/>
  <c r="O554" i="5"/>
  <c r="R553" i="5"/>
  <c r="Q553" i="5"/>
  <c r="P553" i="5"/>
  <c r="O553" i="5"/>
  <c r="R552" i="5"/>
  <c r="Q552" i="5"/>
  <c r="P552" i="5"/>
  <c r="O552" i="5"/>
  <c r="R551" i="5"/>
  <c r="Q551" i="5"/>
  <c r="P551" i="5"/>
  <c r="O551" i="5"/>
  <c r="R550" i="5"/>
  <c r="Q550" i="5"/>
  <c r="P550" i="5"/>
  <c r="O550" i="5"/>
  <c r="R549" i="5"/>
  <c r="Q549" i="5"/>
  <c r="P549" i="5"/>
  <c r="O549" i="5"/>
  <c r="R548" i="5"/>
  <c r="Q548" i="5"/>
  <c r="P548" i="5"/>
  <c r="O548" i="5"/>
  <c r="R547" i="5"/>
  <c r="Q547" i="5"/>
  <c r="P547" i="5"/>
  <c r="O547" i="5"/>
  <c r="R546" i="5"/>
  <c r="Q546" i="5"/>
  <c r="P546" i="5"/>
  <c r="O546" i="5"/>
  <c r="R545" i="5"/>
  <c r="Q545" i="5"/>
  <c r="P545" i="5"/>
  <c r="O545" i="5"/>
  <c r="R544" i="5"/>
  <c r="Q544" i="5"/>
  <c r="P544" i="5"/>
  <c r="O544" i="5"/>
  <c r="R543" i="5"/>
  <c r="Q543" i="5"/>
  <c r="P543" i="5"/>
  <c r="O543" i="5"/>
  <c r="R542" i="5"/>
  <c r="Q542" i="5"/>
  <c r="P542" i="5"/>
  <c r="O542" i="5"/>
  <c r="R541" i="5"/>
  <c r="Q541" i="5"/>
  <c r="P541" i="5"/>
  <c r="O541" i="5"/>
  <c r="R540" i="5"/>
  <c r="Q540" i="5"/>
  <c r="P540" i="5"/>
  <c r="O540" i="5"/>
  <c r="R539" i="5"/>
  <c r="Q539" i="5"/>
  <c r="P539" i="5"/>
  <c r="O539" i="5"/>
  <c r="R538" i="5"/>
  <c r="Q538" i="5"/>
  <c r="P538" i="5"/>
  <c r="O538" i="5"/>
  <c r="R537" i="5"/>
  <c r="Q537" i="5"/>
  <c r="P537" i="5"/>
  <c r="O537" i="5"/>
  <c r="R536" i="5"/>
  <c r="Q536" i="5"/>
  <c r="P536" i="5"/>
  <c r="O536" i="5"/>
  <c r="R535" i="5"/>
  <c r="Q535" i="5"/>
  <c r="P535" i="5"/>
  <c r="O535" i="5"/>
  <c r="R534" i="5"/>
  <c r="Q534" i="5"/>
  <c r="P534" i="5"/>
  <c r="O534" i="5"/>
  <c r="R533" i="5"/>
  <c r="Q533" i="5"/>
  <c r="P533" i="5"/>
  <c r="O533" i="5"/>
  <c r="R532" i="5"/>
  <c r="Q532" i="5"/>
  <c r="P532" i="5"/>
  <c r="O532" i="5"/>
  <c r="R531" i="5"/>
  <c r="Q531" i="5"/>
  <c r="P531" i="5"/>
  <c r="O531" i="5"/>
  <c r="R530" i="5"/>
  <c r="Q530" i="5"/>
  <c r="P530" i="5"/>
  <c r="O530" i="5"/>
  <c r="R529" i="5"/>
  <c r="Q529" i="5"/>
  <c r="P529" i="5"/>
  <c r="O529" i="5"/>
  <c r="R528" i="5"/>
  <c r="Q528" i="5"/>
  <c r="P528" i="5"/>
  <c r="O528" i="5"/>
  <c r="R527" i="5"/>
  <c r="Q527" i="5"/>
  <c r="P527" i="5"/>
  <c r="O527" i="5"/>
  <c r="R526" i="5"/>
  <c r="Q526" i="5"/>
  <c r="P526" i="5"/>
  <c r="O526" i="5"/>
  <c r="R525" i="5"/>
  <c r="Q525" i="5"/>
  <c r="P525" i="5"/>
  <c r="O525" i="5"/>
  <c r="R524" i="5"/>
  <c r="Q524" i="5"/>
  <c r="P524" i="5"/>
  <c r="O524" i="5"/>
  <c r="R523" i="5"/>
  <c r="Q523" i="5"/>
  <c r="P523" i="5"/>
  <c r="O523" i="5"/>
  <c r="R522" i="5"/>
  <c r="Q522" i="5"/>
  <c r="P522" i="5"/>
  <c r="O522" i="5"/>
  <c r="R521" i="5"/>
  <c r="Q521" i="5"/>
  <c r="P521" i="5"/>
  <c r="O521" i="5"/>
  <c r="R520" i="5"/>
  <c r="Q520" i="5"/>
  <c r="P520" i="5"/>
  <c r="O520" i="5"/>
  <c r="R519" i="5"/>
  <c r="Q519" i="5"/>
  <c r="P519" i="5"/>
  <c r="O519" i="5"/>
  <c r="R518" i="5"/>
  <c r="Q518" i="5"/>
  <c r="P518" i="5"/>
  <c r="O518" i="5"/>
  <c r="R517" i="5"/>
  <c r="Q517" i="5"/>
  <c r="P517" i="5"/>
  <c r="O517" i="5"/>
  <c r="R516" i="5"/>
  <c r="Q516" i="5"/>
  <c r="P516" i="5"/>
  <c r="O516" i="5"/>
  <c r="R515" i="5"/>
  <c r="Q515" i="5"/>
  <c r="P515" i="5"/>
  <c r="O515" i="5"/>
  <c r="R514" i="5"/>
  <c r="Q514" i="5"/>
  <c r="P514" i="5"/>
  <c r="O514" i="5"/>
  <c r="R513" i="5"/>
  <c r="Q513" i="5"/>
  <c r="P513" i="5"/>
  <c r="O513" i="5"/>
  <c r="R512" i="5"/>
  <c r="Q512" i="5"/>
  <c r="P512" i="5"/>
  <c r="O512" i="5"/>
  <c r="R511" i="5"/>
  <c r="Q511" i="5"/>
  <c r="P511" i="5"/>
  <c r="O511" i="5"/>
  <c r="R510" i="5"/>
  <c r="Q510" i="5"/>
  <c r="P510" i="5"/>
  <c r="O510" i="5"/>
  <c r="R509" i="5"/>
  <c r="Q509" i="5"/>
  <c r="P509" i="5"/>
  <c r="O509" i="5"/>
  <c r="R508" i="5"/>
  <c r="Q508" i="5"/>
  <c r="P508" i="5"/>
  <c r="O508" i="5"/>
  <c r="R507" i="5"/>
  <c r="Q507" i="5"/>
  <c r="P507" i="5"/>
  <c r="O507" i="5"/>
  <c r="R506" i="5"/>
  <c r="Q506" i="5"/>
  <c r="P506" i="5"/>
  <c r="O506" i="5"/>
  <c r="R505" i="5"/>
  <c r="Q505" i="5"/>
  <c r="P505" i="5"/>
  <c r="O505" i="5"/>
  <c r="R504" i="5"/>
  <c r="Q504" i="5"/>
  <c r="P504" i="5"/>
  <c r="O504" i="5"/>
  <c r="R503" i="5"/>
  <c r="Q503" i="5"/>
  <c r="P503" i="5"/>
  <c r="O503" i="5"/>
  <c r="R502" i="5"/>
  <c r="Q502" i="5"/>
  <c r="P502" i="5"/>
  <c r="O502" i="5"/>
  <c r="R501" i="5"/>
  <c r="Q501" i="5"/>
  <c r="P501" i="5"/>
  <c r="O501" i="5"/>
  <c r="R500" i="5"/>
  <c r="Q500" i="5"/>
  <c r="P500" i="5"/>
  <c r="O500" i="5"/>
  <c r="R499" i="5"/>
  <c r="Q499" i="5"/>
  <c r="P499" i="5"/>
  <c r="O499" i="5"/>
  <c r="R498" i="5"/>
  <c r="Q498" i="5"/>
  <c r="P498" i="5"/>
  <c r="O498" i="5"/>
  <c r="R497" i="5"/>
  <c r="Q497" i="5"/>
  <c r="P497" i="5"/>
  <c r="O497" i="5"/>
  <c r="R496" i="5"/>
  <c r="Q496" i="5"/>
  <c r="P496" i="5"/>
  <c r="O496" i="5"/>
  <c r="R495" i="5"/>
  <c r="Q495" i="5"/>
  <c r="P495" i="5"/>
  <c r="O495" i="5"/>
  <c r="R494" i="5"/>
  <c r="Q494" i="5"/>
  <c r="P494" i="5"/>
  <c r="O494" i="5"/>
  <c r="R493" i="5"/>
  <c r="Q493" i="5"/>
  <c r="P493" i="5"/>
  <c r="O493" i="5"/>
  <c r="R492" i="5"/>
  <c r="Q492" i="5"/>
  <c r="P492" i="5"/>
  <c r="O492" i="5"/>
  <c r="R491" i="5"/>
  <c r="Q491" i="5"/>
  <c r="P491" i="5"/>
  <c r="O491" i="5"/>
  <c r="R490" i="5"/>
  <c r="Q490" i="5"/>
  <c r="P490" i="5"/>
  <c r="O490" i="5"/>
  <c r="R489" i="5"/>
  <c r="Q489" i="5"/>
  <c r="P489" i="5"/>
  <c r="O489" i="5"/>
  <c r="R488" i="5"/>
  <c r="Q488" i="5"/>
  <c r="P488" i="5"/>
  <c r="O488" i="5"/>
  <c r="R487" i="5"/>
  <c r="Q487" i="5"/>
  <c r="P487" i="5"/>
  <c r="O487" i="5"/>
  <c r="R486" i="5"/>
  <c r="Q486" i="5"/>
  <c r="P486" i="5"/>
  <c r="O486" i="5"/>
  <c r="R485" i="5"/>
  <c r="Q485" i="5"/>
  <c r="P485" i="5"/>
  <c r="O485" i="5"/>
  <c r="R484" i="5"/>
  <c r="Q484" i="5"/>
  <c r="P484" i="5"/>
  <c r="O484" i="5"/>
  <c r="R483" i="5"/>
  <c r="Q483" i="5"/>
  <c r="P483" i="5"/>
  <c r="O483" i="5"/>
  <c r="R482" i="5"/>
  <c r="Q482" i="5"/>
  <c r="P482" i="5"/>
  <c r="O482" i="5"/>
  <c r="R481" i="5"/>
  <c r="Q481" i="5"/>
  <c r="P481" i="5"/>
  <c r="O481" i="5"/>
  <c r="R480" i="5"/>
  <c r="Q480" i="5"/>
  <c r="P480" i="5"/>
  <c r="O480" i="5"/>
  <c r="R479" i="5"/>
  <c r="Q479" i="5"/>
  <c r="P479" i="5"/>
  <c r="O479" i="5"/>
  <c r="R478" i="5"/>
  <c r="Q478" i="5"/>
  <c r="P478" i="5"/>
  <c r="O478" i="5"/>
  <c r="R477" i="5"/>
  <c r="Q477" i="5"/>
  <c r="P477" i="5"/>
  <c r="O477" i="5"/>
  <c r="R476" i="5"/>
  <c r="Q476" i="5"/>
  <c r="P476" i="5"/>
  <c r="O476" i="5"/>
  <c r="R475" i="5"/>
  <c r="Q475" i="5"/>
  <c r="P475" i="5"/>
  <c r="O475" i="5"/>
  <c r="R474" i="5"/>
  <c r="Q474" i="5"/>
  <c r="P474" i="5"/>
  <c r="O474" i="5"/>
  <c r="R473" i="5"/>
  <c r="Q473" i="5"/>
  <c r="P473" i="5"/>
  <c r="O473" i="5"/>
  <c r="R472" i="5"/>
  <c r="Q472" i="5"/>
  <c r="P472" i="5"/>
  <c r="O472" i="5"/>
  <c r="R471" i="5"/>
  <c r="Q471" i="5"/>
  <c r="P471" i="5"/>
  <c r="O471" i="5"/>
  <c r="R470" i="5"/>
  <c r="Q470" i="5"/>
  <c r="P470" i="5"/>
  <c r="O470" i="5"/>
  <c r="R469" i="5"/>
  <c r="Q469" i="5"/>
  <c r="P469" i="5"/>
  <c r="O469" i="5"/>
  <c r="R468" i="5"/>
  <c r="Q468" i="5"/>
  <c r="P468" i="5"/>
  <c r="O468" i="5"/>
  <c r="R467" i="5"/>
  <c r="Q467" i="5"/>
  <c r="P467" i="5"/>
  <c r="O467" i="5"/>
  <c r="R466" i="5"/>
  <c r="Q466" i="5"/>
  <c r="P466" i="5"/>
  <c r="O466" i="5"/>
  <c r="R465" i="5"/>
  <c r="Q465" i="5"/>
  <c r="P465" i="5"/>
  <c r="O465" i="5"/>
  <c r="R464" i="5"/>
  <c r="Q464" i="5"/>
  <c r="P464" i="5"/>
  <c r="O464" i="5"/>
  <c r="R463" i="5"/>
  <c r="Q463" i="5"/>
  <c r="P463" i="5"/>
  <c r="O463" i="5"/>
  <c r="R462" i="5"/>
  <c r="Q462" i="5"/>
  <c r="P462" i="5"/>
  <c r="O462" i="5"/>
  <c r="R461" i="5"/>
  <c r="Q461" i="5"/>
  <c r="P461" i="5"/>
  <c r="O461" i="5"/>
  <c r="R460" i="5"/>
  <c r="Q460" i="5"/>
  <c r="P460" i="5"/>
  <c r="O460" i="5"/>
  <c r="R459" i="5"/>
  <c r="Q459" i="5"/>
  <c r="P459" i="5"/>
  <c r="O459" i="5"/>
  <c r="R458" i="5"/>
  <c r="Q458" i="5"/>
  <c r="P458" i="5"/>
  <c r="O458" i="5"/>
  <c r="R457" i="5"/>
  <c r="Q457" i="5"/>
  <c r="P457" i="5"/>
  <c r="O457" i="5"/>
  <c r="R456" i="5"/>
  <c r="Q456" i="5"/>
  <c r="P456" i="5"/>
  <c r="O456" i="5"/>
  <c r="R455" i="5"/>
  <c r="Q455" i="5"/>
  <c r="P455" i="5"/>
  <c r="O455" i="5"/>
  <c r="R454" i="5"/>
  <c r="Q454" i="5"/>
  <c r="P454" i="5"/>
  <c r="O454" i="5"/>
  <c r="R453" i="5"/>
  <c r="Q453" i="5"/>
  <c r="P453" i="5"/>
  <c r="O453" i="5"/>
  <c r="R452" i="5"/>
  <c r="Q452" i="5"/>
  <c r="P452" i="5"/>
  <c r="O452" i="5"/>
  <c r="R451" i="5"/>
  <c r="Q451" i="5"/>
  <c r="P451" i="5"/>
  <c r="O451" i="5"/>
  <c r="R450" i="5"/>
  <c r="Q450" i="5"/>
  <c r="P450" i="5"/>
  <c r="O450" i="5"/>
  <c r="R449" i="5"/>
  <c r="Q449" i="5"/>
  <c r="P449" i="5"/>
  <c r="O449" i="5"/>
  <c r="R448" i="5"/>
  <c r="Q448" i="5"/>
  <c r="P448" i="5"/>
  <c r="O448" i="5"/>
  <c r="R447" i="5"/>
  <c r="Q447" i="5"/>
  <c r="P447" i="5"/>
  <c r="O447" i="5"/>
  <c r="R446" i="5"/>
  <c r="Q446" i="5"/>
  <c r="P446" i="5"/>
  <c r="O446" i="5"/>
  <c r="R445" i="5"/>
  <c r="Q445" i="5"/>
  <c r="P445" i="5"/>
  <c r="O445" i="5"/>
  <c r="R444" i="5"/>
  <c r="Q444" i="5"/>
  <c r="P444" i="5"/>
  <c r="O444" i="5"/>
  <c r="R443" i="5"/>
  <c r="Q443" i="5"/>
  <c r="P443" i="5"/>
  <c r="O443" i="5"/>
  <c r="R442" i="5"/>
  <c r="Q442" i="5"/>
  <c r="P442" i="5"/>
  <c r="O442" i="5"/>
  <c r="R441" i="5"/>
  <c r="Q441" i="5"/>
  <c r="P441" i="5"/>
  <c r="O441" i="5"/>
  <c r="R440" i="5"/>
  <c r="Q440" i="5"/>
  <c r="P440" i="5"/>
  <c r="O440" i="5"/>
  <c r="R439" i="5"/>
  <c r="Q439" i="5"/>
  <c r="P439" i="5"/>
  <c r="O439" i="5"/>
  <c r="R438" i="5"/>
  <c r="Q438" i="5"/>
  <c r="P438" i="5"/>
  <c r="O438" i="5"/>
  <c r="R437" i="5"/>
  <c r="Q437" i="5"/>
  <c r="P437" i="5"/>
  <c r="O437" i="5"/>
  <c r="R436" i="5"/>
  <c r="Q436" i="5"/>
  <c r="P436" i="5"/>
  <c r="O436" i="5"/>
  <c r="R435" i="5"/>
  <c r="Q435" i="5"/>
  <c r="P435" i="5"/>
  <c r="O435" i="5"/>
  <c r="R434" i="5"/>
  <c r="Q434" i="5"/>
  <c r="P434" i="5"/>
  <c r="O434" i="5"/>
  <c r="R433" i="5"/>
  <c r="Q433" i="5"/>
  <c r="P433" i="5"/>
  <c r="O433" i="5"/>
  <c r="R432" i="5"/>
  <c r="Q432" i="5"/>
  <c r="P432" i="5"/>
  <c r="O432" i="5"/>
  <c r="R431" i="5"/>
  <c r="Q431" i="5"/>
  <c r="P431" i="5"/>
  <c r="O431" i="5"/>
  <c r="R430" i="5"/>
  <c r="Q430" i="5"/>
  <c r="P430" i="5"/>
  <c r="O430" i="5"/>
  <c r="R429" i="5"/>
  <c r="Q429" i="5"/>
  <c r="P429" i="5"/>
  <c r="O429" i="5"/>
  <c r="R428" i="5"/>
  <c r="Q428" i="5"/>
  <c r="P428" i="5"/>
  <c r="O428" i="5"/>
  <c r="R427" i="5"/>
  <c r="Q427" i="5"/>
  <c r="P427" i="5"/>
  <c r="O427" i="5"/>
  <c r="R426" i="5"/>
  <c r="Q426" i="5"/>
  <c r="P426" i="5"/>
  <c r="O426" i="5"/>
  <c r="R425" i="5"/>
  <c r="Q425" i="5"/>
  <c r="P425" i="5"/>
  <c r="O425" i="5"/>
  <c r="R424" i="5"/>
  <c r="Q424" i="5"/>
  <c r="P424" i="5"/>
  <c r="O424" i="5"/>
  <c r="R423" i="5"/>
  <c r="Q423" i="5"/>
  <c r="P423" i="5"/>
  <c r="O423" i="5"/>
  <c r="R422" i="5"/>
  <c r="Q422" i="5"/>
  <c r="P422" i="5"/>
  <c r="O422" i="5"/>
  <c r="R421" i="5"/>
  <c r="Q421" i="5"/>
  <c r="P421" i="5"/>
  <c r="O421" i="5"/>
  <c r="R420" i="5"/>
  <c r="Q420" i="5"/>
  <c r="P420" i="5"/>
  <c r="O420" i="5"/>
  <c r="R419" i="5"/>
  <c r="Q419" i="5"/>
  <c r="P419" i="5"/>
  <c r="O419" i="5"/>
  <c r="R418" i="5"/>
  <c r="Q418" i="5"/>
  <c r="P418" i="5"/>
  <c r="O418" i="5"/>
  <c r="R417" i="5"/>
  <c r="Q417" i="5"/>
  <c r="P417" i="5"/>
  <c r="O417" i="5"/>
  <c r="R416" i="5"/>
  <c r="Q416" i="5"/>
  <c r="P416" i="5"/>
  <c r="O416" i="5"/>
  <c r="R415" i="5"/>
  <c r="Q415" i="5"/>
  <c r="P415" i="5"/>
  <c r="O415" i="5"/>
  <c r="R414" i="5"/>
  <c r="Q414" i="5"/>
  <c r="P414" i="5"/>
  <c r="O414" i="5"/>
  <c r="R413" i="5"/>
  <c r="Q413" i="5"/>
  <c r="P413" i="5"/>
  <c r="O413" i="5"/>
  <c r="R412" i="5"/>
  <c r="Q412" i="5"/>
  <c r="P412" i="5"/>
  <c r="O412" i="5"/>
  <c r="R411" i="5"/>
  <c r="Q411" i="5"/>
  <c r="P411" i="5"/>
  <c r="O411" i="5"/>
  <c r="R410" i="5"/>
  <c r="Q410" i="5"/>
  <c r="P410" i="5"/>
  <c r="O410" i="5"/>
  <c r="R409" i="5"/>
  <c r="Q409" i="5"/>
  <c r="P409" i="5"/>
  <c r="O409" i="5"/>
  <c r="R408" i="5"/>
  <c r="Q408" i="5"/>
  <c r="P408" i="5"/>
  <c r="O408" i="5"/>
  <c r="R407" i="5"/>
  <c r="Q407" i="5"/>
  <c r="P407" i="5"/>
  <c r="O407" i="5"/>
  <c r="R406" i="5"/>
  <c r="Q406" i="5"/>
  <c r="P406" i="5"/>
  <c r="O406" i="5"/>
  <c r="R405" i="5"/>
  <c r="Q405" i="5"/>
  <c r="P405" i="5"/>
  <c r="O405" i="5"/>
  <c r="R404" i="5"/>
  <c r="Q404" i="5"/>
  <c r="P404" i="5"/>
  <c r="O404" i="5"/>
  <c r="R403" i="5"/>
  <c r="Q403" i="5"/>
  <c r="P403" i="5"/>
  <c r="O403" i="5"/>
  <c r="R402" i="5"/>
  <c r="Q402" i="5"/>
  <c r="P402" i="5"/>
  <c r="O402" i="5"/>
  <c r="R401" i="5"/>
  <c r="Q401" i="5"/>
  <c r="P401" i="5"/>
  <c r="O401" i="5"/>
  <c r="R400" i="5"/>
  <c r="Q400" i="5"/>
  <c r="P400" i="5"/>
  <c r="O400" i="5"/>
  <c r="R399" i="5"/>
  <c r="Q399" i="5"/>
  <c r="P399" i="5"/>
  <c r="O399" i="5"/>
  <c r="R398" i="5"/>
  <c r="Q398" i="5"/>
  <c r="P398" i="5"/>
  <c r="O398" i="5"/>
  <c r="R397" i="5"/>
  <c r="Q397" i="5"/>
  <c r="P397" i="5"/>
  <c r="O397" i="5"/>
  <c r="R396" i="5"/>
  <c r="Q396" i="5"/>
  <c r="P396" i="5"/>
  <c r="O396" i="5"/>
  <c r="R395" i="5"/>
  <c r="Q395" i="5"/>
  <c r="P395" i="5"/>
  <c r="O395" i="5"/>
  <c r="R394" i="5"/>
  <c r="Q394" i="5"/>
  <c r="P394" i="5"/>
  <c r="O394" i="5"/>
  <c r="R393" i="5"/>
  <c r="Q393" i="5"/>
  <c r="P393" i="5"/>
  <c r="O393" i="5"/>
  <c r="R392" i="5"/>
  <c r="Q392" i="5"/>
  <c r="P392" i="5"/>
  <c r="O392" i="5"/>
  <c r="R391" i="5"/>
  <c r="Q391" i="5"/>
  <c r="P391" i="5"/>
  <c r="O391" i="5"/>
  <c r="R390" i="5"/>
  <c r="Q390" i="5"/>
  <c r="P390" i="5"/>
  <c r="O390" i="5"/>
  <c r="R389" i="5"/>
  <c r="Q389" i="5"/>
  <c r="P389" i="5"/>
  <c r="O389" i="5"/>
  <c r="R388" i="5"/>
  <c r="Q388" i="5"/>
  <c r="P388" i="5"/>
  <c r="O388" i="5"/>
  <c r="R387" i="5"/>
  <c r="Q387" i="5"/>
  <c r="P387" i="5"/>
  <c r="O387" i="5"/>
  <c r="R386" i="5"/>
  <c r="Q386" i="5"/>
  <c r="P386" i="5"/>
  <c r="O386" i="5"/>
  <c r="R385" i="5"/>
  <c r="Q385" i="5"/>
  <c r="P385" i="5"/>
  <c r="O385" i="5"/>
  <c r="R384" i="5"/>
  <c r="Q384" i="5"/>
  <c r="P384" i="5"/>
  <c r="O384" i="5"/>
  <c r="R383" i="5"/>
  <c r="Q383" i="5"/>
  <c r="P383" i="5"/>
  <c r="O383" i="5"/>
  <c r="R382" i="5"/>
  <c r="Q382" i="5"/>
  <c r="P382" i="5"/>
  <c r="O382" i="5"/>
  <c r="R381" i="5"/>
  <c r="Q381" i="5"/>
  <c r="P381" i="5"/>
  <c r="O381" i="5"/>
  <c r="R380" i="5"/>
  <c r="Q380" i="5"/>
  <c r="P380" i="5"/>
  <c r="O380" i="5"/>
  <c r="R379" i="5"/>
  <c r="Q379" i="5"/>
  <c r="P379" i="5"/>
  <c r="O379" i="5"/>
  <c r="R378" i="5"/>
  <c r="Q378" i="5"/>
  <c r="P378" i="5"/>
  <c r="O378" i="5"/>
  <c r="R377" i="5"/>
  <c r="Q377" i="5"/>
  <c r="P377" i="5"/>
  <c r="O377" i="5"/>
  <c r="R376" i="5"/>
  <c r="Q376" i="5"/>
  <c r="P376" i="5"/>
  <c r="O376" i="5"/>
  <c r="R375" i="5"/>
  <c r="Q375" i="5"/>
  <c r="P375" i="5"/>
  <c r="O375" i="5"/>
  <c r="R374" i="5"/>
  <c r="Q374" i="5"/>
  <c r="P374" i="5"/>
  <c r="O374" i="5"/>
  <c r="R373" i="5"/>
  <c r="Q373" i="5"/>
  <c r="P373" i="5"/>
  <c r="O373" i="5"/>
  <c r="R372" i="5"/>
  <c r="Q372" i="5"/>
  <c r="P372" i="5"/>
  <c r="O372" i="5"/>
  <c r="R371" i="5"/>
  <c r="Q371" i="5"/>
  <c r="P371" i="5"/>
  <c r="O371" i="5"/>
  <c r="R370" i="5"/>
  <c r="Q370" i="5"/>
  <c r="P370" i="5"/>
  <c r="O370" i="5"/>
  <c r="R369" i="5"/>
  <c r="Q369" i="5"/>
  <c r="P369" i="5"/>
  <c r="O369" i="5"/>
  <c r="R368" i="5"/>
  <c r="Q368" i="5"/>
  <c r="P368" i="5"/>
  <c r="O368" i="5"/>
  <c r="R367" i="5"/>
  <c r="Q367" i="5"/>
  <c r="P367" i="5"/>
  <c r="O367" i="5"/>
  <c r="R366" i="5"/>
  <c r="Q366" i="5"/>
  <c r="P366" i="5"/>
  <c r="O366" i="5"/>
  <c r="R365" i="5"/>
  <c r="Q365" i="5"/>
  <c r="P365" i="5"/>
  <c r="O365" i="5"/>
  <c r="R364" i="5"/>
  <c r="Q364" i="5"/>
  <c r="P364" i="5"/>
  <c r="O364" i="5"/>
  <c r="R363" i="5"/>
  <c r="Q363" i="5"/>
  <c r="P363" i="5"/>
  <c r="O363" i="5"/>
  <c r="R362" i="5"/>
  <c r="Q362" i="5"/>
  <c r="P362" i="5"/>
  <c r="O362" i="5"/>
  <c r="R361" i="5"/>
  <c r="Q361" i="5"/>
  <c r="P361" i="5"/>
  <c r="O361" i="5"/>
  <c r="R360" i="5"/>
  <c r="Q360" i="5"/>
  <c r="P360" i="5"/>
  <c r="O360" i="5"/>
  <c r="R359" i="5"/>
  <c r="Q359" i="5"/>
  <c r="P359" i="5"/>
  <c r="O359" i="5"/>
  <c r="R358" i="5"/>
  <c r="Q358" i="5"/>
  <c r="P358" i="5"/>
  <c r="O358" i="5"/>
  <c r="R357" i="5"/>
  <c r="Q357" i="5"/>
  <c r="P357" i="5"/>
  <c r="O357" i="5"/>
  <c r="R356" i="5"/>
  <c r="Q356" i="5"/>
  <c r="P356" i="5"/>
  <c r="O356" i="5"/>
  <c r="R355" i="5"/>
  <c r="Q355" i="5"/>
  <c r="P355" i="5"/>
  <c r="O355" i="5"/>
  <c r="R354" i="5"/>
  <c r="Q354" i="5"/>
  <c r="P354" i="5"/>
  <c r="O354" i="5"/>
  <c r="R353" i="5"/>
  <c r="Q353" i="5"/>
  <c r="P353" i="5"/>
  <c r="O353" i="5"/>
  <c r="R352" i="5"/>
  <c r="Q352" i="5"/>
  <c r="P352" i="5"/>
  <c r="O352" i="5"/>
  <c r="R351" i="5"/>
  <c r="Q351" i="5"/>
  <c r="P351" i="5"/>
  <c r="O351" i="5"/>
  <c r="R350" i="5"/>
  <c r="Q350" i="5"/>
  <c r="P350" i="5"/>
  <c r="O350" i="5"/>
  <c r="R349" i="5"/>
  <c r="Q349" i="5"/>
  <c r="P349" i="5"/>
  <c r="O349" i="5"/>
  <c r="R348" i="5"/>
  <c r="Q348" i="5"/>
  <c r="P348" i="5"/>
  <c r="O348" i="5"/>
  <c r="R347" i="5"/>
  <c r="Q347" i="5"/>
  <c r="P347" i="5"/>
  <c r="O347" i="5"/>
  <c r="R346" i="5"/>
  <c r="Q346" i="5"/>
  <c r="P346" i="5"/>
  <c r="O346" i="5"/>
  <c r="R345" i="5"/>
  <c r="Q345" i="5"/>
  <c r="P345" i="5"/>
  <c r="O345" i="5"/>
  <c r="R344" i="5"/>
  <c r="Q344" i="5"/>
  <c r="P344" i="5"/>
  <c r="O344" i="5"/>
  <c r="R343" i="5"/>
  <c r="Q343" i="5"/>
  <c r="P343" i="5"/>
  <c r="O343" i="5"/>
  <c r="R342" i="5"/>
  <c r="Q342" i="5"/>
  <c r="P342" i="5"/>
  <c r="O342" i="5"/>
  <c r="R341" i="5"/>
  <c r="Q341" i="5"/>
  <c r="P341" i="5"/>
  <c r="O341" i="5"/>
  <c r="R340" i="5"/>
  <c r="Q340" i="5"/>
  <c r="P340" i="5"/>
  <c r="O340" i="5"/>
  <c r="R339" i="5"/>
  <c r="Q339" i="5"/>
  <c r="P339" i="5"/>
  <c r="O339" i="5"/>
  <c r="R338" i="5"/>
  <c r="Q338" i="5"/>
  <c r="P338" i="5"/>
  <c r="O338" i="5"/>
  <c r="R337" i="5"/>
  <c r="Q337" i="5"/>
  <c r="P337" i="5"/>
  <c r="O337" i="5"/>
  <c r="R336" i="5"/>
  <c r="Q336" i="5"/>
  <c r="P336" i="5"/>
  <c r="O336" i="5"/>
  <c r="R335" i="5"/>
  <c r="Q335" i="5"/>
  <c r="P335" i="5"/>
  <c r="O335" i="5"/>
  <c r="R334" i="5"/>
  <c r="Q334" i="5"/>
  <c r="P334" i="5"/>
  <c r="O334" i="5"/>
  <c r="R333" i="5"/>
  <c r="Q333" i="5"/>
  <c r="P333" i="5"/>
  <c r="O333" i="5"/>
  <c r="R332" i="5"/>
  <c r="Q332" i="5"/>
  <c r="P332" i="5"/>
  <c r="O332" i="5"/>
  <c r="R331" i="5"/>
  <c r="Q331" i="5"/>
  <c r="P331" i="5"/>
  <c r="O331" i="5"/>
  <c r="R330" i="5"/>
  <c r="Q330" i="5"/>
  <c r="P330" i="5"/>
  <c r="O330" i="5"/>
  <c r="R329" i="5"/>
  <c r="Q329" i="5"/>
  <c r="P329" i="5"/>
  <c r="O329" i="5"/>
  <c r="R328" i="5"/>
  <c r="Q328" i="5"/>
  <c r="P328" i="5"/>
  <c r="O328" i="5"/>
  <c r="R327" i="5"/>
  <c r="Q327" i="5"/>
  <c r="P327" i="5"/>
  <c r="O327" i="5"/>
  <c r="R326" i="5"/>
  <c r="Q326" i="5"/>
  <c r="P326" i="5"/>
  <c r="O326" i="5"/>
  <c r="R325" i="5"/>
  <c r="Q325" i="5"/>
  <c r="P325" i="5"/>
  <c r="O325" i="5"/>
  <c r="R324" i="5"/>
  <c r="Q324" i="5"/>
  <c r="P324" i="5"/>
  <c r="O324" i="5"/>
  <c r="R323" i="5"/>
  <c r="Q323" i="5"/>
  <c r="P323" i="5"/>
  <c r="O323" i="5"/>
  <c r="R322" i="5"/>
  <c r="Q322" i="5"/>
  <c r="P322" i="5"/>
  <c r="O322" i="5"/>
  <c r="R321" i="5"/>
  <c r="Q321" i="5"/>
  <c r="P321" i="5"/>
  <c r="O321" i="5"/>
  <c r="R320" i="5"/>
  <c r="Q320" i="5"/>
  <c r="P320" i="5"/>
  <c r="O320" i="5"/>
  <c r="R319" i="5"/>
  <c r="Q319" i="5"/>
  <c r="P319" i="5"/>
  <c r="O319" i="5"/>
  <c r="R318" i="5"/>
  <c r="Q318" i="5"/>
  <c r="P318" i="5"/>
  <c r="O318" i="5"/>
  <c r="R317" i="5"/>
  <c r="Q317" i="5"/>
  <c r="P317" i="5"/>
  <c r="O317" i="5"/>
  <c r="R316" i="5"/>
  <c r="Q316" i="5"/>
  <c r="P316" i="5"/>
  <c r="O316" i="5"/>
  <c r="R315" i="5"/>
  <c r="Q315" i="5"/>
  <c r="P315" i="5"/>
  <c r="O315" i="5"/>
  <c r="R314" i="5"/>
  <c r="Q314" i="5"/>
  <c r="P314" i="5"/>
  <c r="O314" i="5"/>
  <c r="R313" i="5"/>
  <c r="Q313" i="5"/>
  <c r="P313" i="5"/>
  <c r="O313" i="5"/>
  <c r="R312" i="5"/>
  <c r="Q312" i="5"/>
  <c r="P312" i="5"/>
  <c r="O312" i="5"/>
  <c r="R311" i="5"/>
  <c r="Q311" i="5"/>
  <c r="P311" i="5"/>
  <c r="O311" i="5"/>
  <c r="R310" i="5"/>
  <c r="Q310" i="5"/>
  <c r="P310" i="5"/>
  <c r="O310" i="5"/>
  <c r="R309" i="5"/>
  <c r="Q309" i="5"/>
  <c r="P309" i="5"/>
  <c r="O309" i="5"/>
  <c r="R308" i="5"/>
  <c r="Q308" i="5"/>
  <c r="P308" i="5"/>
  <c r="O308" i="5"/>
  <c r="R307" i="5"/>
  <c r="Q307" i="5"/>
  <c r="P307" i="5"/>
  <c r="O307" i="5"/>
  <c r="R306" i="5"/>
  <c r="Q306" i="5"/>
  <c r="P306" i="5"/>
  <c r="O306" i="5"/>
  <c r="R305" i="5"/>
  <c r="Q305" i="5"/>
  <c r="P305" i="5"/>
  <c r="O305" i="5"/>
  <c r="R304" i="5"/>
  <c r="Q304" i="5"/>
  <c r="P304" i="5"/>
  <c r="O304" i="5"/>
  <c r="R303" i="5"/>
  <c r="Q303" i="5"/>
  <c r="P303" i="5"/>
  <c r="O303" i="5"/>
  <c r="R302" i="5"/>
  <c r="Q302" i="5"/>
  <c r="P302" i="5"/>
  <c r="O302" i="5"/>
  <c r="R301" i="5"/>
  <c r="Q301" i="5"/>
  <c r="P301" i="5"/>
  <c r="O301" i="5"/>
  <c r="R300" i="5"/>
  <c r="Q300" i="5"/>
  <c r="P300" i="5"/>
  <c r="O300" i="5"/>
  <c r="R299" i="5"/>
  <c r="Q299" i="5"/>
  <c r="P299" i="5"/>
  <c r="O299" i="5"/>
  <c r="R298" i="5"/>
  <c r="Q298" i="5"/>
  <c r="P298" i="5"/>
  <c r="O298" i="5"/>
  <c r="R297" i="5"/>
  <c r="Q297" i="5"/>
  <c r="P297" i="5"/>
  <c r="O297" i="5"/>
  <c r="R296" i="5"/>
  <c r="Q296" i="5"/>
  <c r="P296" i="5"/>
  <c r="O296" i="5"/>
  <c r="R295" i="5"/>
  <c r="Q295" i="5"/>
  <c r="P295" i="5"/>
  <c r="O295" i="5"/>
  <c r="R294" i="5"/>
  <c r="Q294" i="5"/>
  <c r="P294" i="5"/>
  <c r="O294" i="5"/>
  <c r="R293" i="5"/>
  <c r="Q293" i="5"/>
  <c r="P293" i="5"/>
  <c r="O293" i="5"/>
  <c r="R292" i="5"/>
  <c r="Q292" i="5"/>
  <c r="P292" i="5"/>
  <c r="O292" i="5"/>
  <c r="R291" i="5"/>
  <c r="Q291" i="5"/>
  <c r="P291" i="5"/>
  <c r="O291" i="5"/>
  <c r="R290" i="5"/>
  <c r="Q290" i="5"/>
  <c r="P290" i="5"/>
  <c r="O290" i="5"/>
  <c r="R289" i="5"/>
  <c r="Q289" i="5"/>
  <c r="P289" i="5"/>
  <c r="O289" i="5"/>
  <c r="R288" i="5"/>
  <c r="Q288" i="5"/>
  <c r="P288" i="5"/>
  <c r="O288" i="5"/>
  <c r="R287" i="5"/>
  <c r="Q287" i="5"/>
  <c r="P287" i="5"/>
  <c r="O287" i="5"/>
  <c r="R286" i="5"/>
  <c r="Q286" i="5"/>
  <c r="P286" i="5"/>
  <c r="O286" i="5"/>
  <c r="R285" i="5"/>
  <c r="Q285" i="5"/>
  <c r="P285" i="5"/>
  <c r="O285" i="5"/>
  <c r="R284" i="5"/>
  <c r="Q284" i="5"/>
  <c r="P284" i="5"/>
  <c r="O284" i="5"/>
  <c r="R283" i="5"/>
  <c r="Q283" i="5"/>
  <c r="P283" i="5"/>
  <c r="O283" i="5"/>
  <c r="R282" i="5"/>
  <c r="Q282" i="5"/>
  <c r="P282" i="5"/>
  <c r="O282" i="5"/>
  <c r="R281" i="5"/>
  <c r="Q281" i="5"/>
  <c r="P281" i="5"/>
  <c r="O281" i="5"/>
  <c r="R280" i="5"/>
  <c r="Q280" i="5"/>
  <c r="P280" i="5"/>
  <c r="O280" i="5"/>
  <c r="R279" i="5"/>
  <c r="Q279" i="5"/>
  <c r="P279" i="5"/>
  <c r="O279" i="5"/>
  <c r="R278" i="5"/>
  <c r="Q278" i="5"/>
  <c r="P278" i="5"/>
  <c r="O278" i="5"/>
  <c r="R277" i="5"/>
  <c r="Q277" i="5"/>
  <c r="P277" i="5"/>
  <c r="O277" i="5"/>
  <c r="R276" i="5"/>
  <c r="Q276" i="5"/>
  <c r="P276" i="5"/>
  <c r="O276" i="5"/>
  <c r="R275" i="5"/>
  <c r="Q275" i="5"/>
  <c r="P275" i="5"/>
  <c r="O275" i="5"/>
  <c r="R274" i="5"/>
  <c r="Q274" i="5"/>
  <c r="P274" i="5"/>
  <c r="O274" i="5"/>
  <c r="R273" i="5"/>
  <c r="Q273" i="5"/>
  <c r="P273" i="5"/>
  <c r="O273" i="5"/>
  <c r="R272" i="5"/>
  <c r="Q272" i="5"/>
  <c r="P272" i="5"/>
  <c r="O272" i="5"/>
  <c r="R271" i="5"/>
  <c r="Q271" i="5"/>
  <c r="P271" i="5"/>
  <c r="O271" i="5"/>
  <c r="R270" i="5"/>
  <c r="Q270" i="5"/>
  <c r="P270" i="5"/>
  <c r="O270" i="5"/>
  <c r="R269" i="5"/>
  <c r="Q269" i="5"/>
  <c r="P269" i="5"/>
  <c r="O269" i="5"/>
  <c r="R268" i="5"/>
  <c r="Q268" i="5"/>
  <c r="P268" i="5"/>
  <c r="O268" i="5"/>
  <c r="R267" i="5"/>
  <c r="Q267" i="5"/>
  <c r="P267" i="5"/>
  <c r="O267" i="5"/>
  <c r="R266" i="5"/>
  <c r="Q266" i="5"/>
  <c r="P266" i="5"/>
  <c r="O266" i="5"/>
  <c r="R265" i="5"/>
  <c r="Q265" i="5"/>
  <c r="P265" i="5"/>
  <c r="O265" i="5"/>
  <c r="R264" i="5"/>
  <c r="Q264" i="5"/>
  <c r="P264" i="5"/>
  <c r="O264" i="5"/>
  <c r="R263" i="5"/>
  <c r="Q263" i="5"/>
  <c r="P263" i="5"/>
  <c r="O263" i="5"/>
  <c r="R262" i="5"/>
  <c r="Q262" i="5"/>
  <c r="P262" i="5"/>
  <c r="O262" i="5"/>
  <c r="R261" i="5"/>
  <c r="Q261" i="5"/>
  <c r="P261" i="5"/>
  <c r="O261" i="5"/>
  <c r="R260" i="5"/>
  <c r="Q260" i="5"/>
  <c r="P260" i="5"/>
  <c r="O260" i="5"/>
  <c r="R259" i="5"/>
  <c r="Q259" i="5"/>
  <c r="P259" i="5"/>
  <c r="O259" i="5"/>
  <c r="R258" i="5"/>
  <c r="Q258" i="5"/>
  <c r="P258" i="5"/>
  <c r="O258" i="5"/>
  <c r="R257" i="5"/>
  <c r="Q257" i="5"/>
  <c r="P257" i="5"/>
  <c r="O257" i="5"/>
  <c r="R256" i="5"/>
  <c r="Q256" i="5"/>
  <c r="P256" i="5"/>
  <c r="O256" i="5"/>
  <c r="R255" i="5"/>
  <c r="Q255" i="5"/>
  <c r="P255" i="5"/>
  <c r="O255" i="5"/>
  <c r="R254" i="5"/>
  <c r="Q254" i="5"/>
  <c r="P254" i="5"/>
  <c r="O254" i="5"/>
  <c r="R253" i="5"/>
  <c r="Q253" i="5"/>
  <c r="P253" i="5"/>
  <c r="O253" i="5"/>
  <c r="R252" i="5"/>
  <c r="Q252" i="5"/>
  <c r="P252" i="5"/>
  <c r="O252" i="5"/>
  <c r="R251" i="5"/>
  <c r="Q251" i="5"/>
  <c r="P251" i="5"/>
  <c r="O251" i="5"/>
  <c r="R250" i="5"/>
  <c r="Q250" i="5"/>
  <c r="P250" i="5"/>
  <c r="O250" i="5"/>
  <c r="R249" i="5"/>
  <c r="Q249" i="5"/>
  <c r="P249" i="5"/>
  <c r="O249" i="5"/>
  <c r="R248" i="5"/>
  <c r="Q248" i="5"/>
  <c r="P248" i="5"/>
  <c r="O248" i="5"/>
  <c r="R247" i="5"/>
  <c r="Q247" i="5"/>
  <c r="P247" i="5"/>
  <c r="O247" i="5"/>
  <c r="R246" i="5"/>
  <c r="Q246" i="5"/>
  <c r="P246" i="5"/>
  <c r="O246" i="5"/>
  <c r="R245" i="5"/>
  <c r="Q245" i="5"/>
  <c r="P245" i="5"/>
  <c r="O245" i="5"/>
  <c r="R244" i="5"/>
  <c r="Q244" i="5"/>
  <c r="P244" i="5"/>
  <c r="O244" i="5"/>
  <c r="R243" i="5"/>
  <c r="Q243" i="5"/>
  <c r="P243" i="5"/>
  <c r="O243" i="5"/>
  <c r="R242" i="5"/>
  <c r="Q242" i="5"/>
  <c r="P242" i="5"/>
  <c r="O242" i="5"/>
  <c r="R241" i="5"/>
  <c r="Q241" i="5"/>
  <c r="P241" i="5"/>
  <c r="O241" i="5"/>
  <c r="R240" i="5"/>
  <c r="Q240" i="5"/>
  <c r="P240" i="5"/>
  <c r="O240" i="5"/>
  <c r="R239" i="5"/>
  <c r="Q239" i="5"/>
  <c r="P239" i="5"/>
  <c r="O239" i="5"/>
  <c r="R238" i="5"/>
  <c r="Q238" i="5"/>
  <c r="P238" i="5"/>
  <c r="O238" i="5"/>
  <c r="R237" i="5"/>
  <c r="Q237" i="5"/>
  <c r="P237" i="5"/>
  <c r="O237" i="5"/>
  <c r="R236" i="5"/>
  <c r="Q236" i="5"/>
  <c r="P236" i="5"/>
  <c r="O236" i="5"/>
  <c r="R235" i="5"/>
  <c r="Q235" i="5"/>
  <c r="P235" i="5"/>
  <c r="O235" i="5"/>
  <c r="R234" i="5"/>
  <c r="Q234" i="5"/>
  <c r="P234" i="5"/>
  <c r="O234" i="5"/>
  <c r="R233" i="5"/>
  <c r="Q233" i="5"/>
  <c r="P233" i="5"/>
  <c r="O233" i="5"/>
  <c r="R232" i="5"/>
  <c r="Q232" i="5"/>
  <c r="P232" i="5"/>
  <c r="O232" i="5"/>
  <c r="R231" i="5"/>
  <c r="Q231" i="5"/>
  <c r="P231" i="5"/>
  <c r="O231" i="5"/>
  <c r="R230" i="5"/>
  <c r="Q230" i="5"/>
  <c r="P230" i="5"/>
  <c r="O230" i="5"/>
  <c r="R229" i="5"/>
  <c r="Q229" i="5"/>
  <c r="P229" i="5"/>
  <c r="O229" i="5"/>
  <c r="R228" i="5"/>
  <c r="Q228" i="5"/>
  <c r="P228" i="5"/>
  <c r="O228" i="5"/>
  <c r="R227" i="5"/>
  <c r="Q227" i="5"/>
  <c r="P227" i="5"/>
  <c r="O227" i="5"/>
  <c r="R226" i="5"/>
  <c r="Q226" i="5"/>
  <c r="P226" i="5"/>
  <c r="O226" i="5"/>
  <c r="R225" i="5"/>
  <c r="Q225" i="5"/>
  <c r="P225" i="5"/>
  <c r="O225" i="5"/>
  <c r="R224" i="5"/>
  <c r="Q224" i="5"/>
  <c r="P224" i="5"/>
  <c r="O224" i="5"/>
  <c r="R223" i="5"/>
  <c r="Q223" i="5"/>
  <c r="P223" i="5"/>
  <c r="O223" i="5"/>
  <c r="R222" i="5"/>
  <c r="Q222" i="5"/>
  <c r="P222" i="5"/>
  <c r="O222" i="5"/>
  <c r="R221" i="5"/>
  <c r="Q221" i="5"/>
  <c r="P221" i="5"/>
  <c r="O221" i="5"/>
  <c r="R220" i="5"/>
  <c r="Q220" i="5"/>
  <c r="P220" i="5"/>
  <c r="O220" i="5"/>
  <c r="R219" i="5"/>
  <c r="Q219" i="5"/>
  <c r="P219" i="5"/>
  <c r="O219" i="5"/>
  <c r="R218" i="5"/>
  <c r="Q218" i="5"/>
  <c r="P218" i="5"/>
  <c r="O218" i="5"/>
  <c r="R217" i="5"/>
  <c r="Q217" i="5"/>
  <c r="P217" i="5"/>
  <c r="O217" i="5"/>
  <c r="R216" i="5"/>
  <c r="Q216" i="5"/>
  <c r="P216" i="5"/>
  <c r="O216" i="5"/>
  <c r="R215" i="5"/>
  <c r="Q215" i="5"/>
  <c r="P215" i="5"/>
  <c r="O215" i="5"/>
  <c r="R214" i="5"/>
  <c r="Q214" i="5"/>
  <c r="P214" i="5"/>
  <c r="O214" i="5"/>
  <c r="R213" i="5"/>
  <c r="Q213" i="5"/>
  <c r="P213" i="5"/>
  <c r="O213" i="5"/>
  <c r="R212" i="5"/>
  <c r="Q212" i="5"/>
  <c r="P212" i="5"/>
  <c r="O212" i="5"/>
  <c r="R211" i="5"/>
  <c r="Q211" i="5"/>
  <c r="P211" i="5"/>
  <c r="O211" i="5"/>
  <c r="R210" i="5"/>
  <c r="Q210" i="5"/>
  <c r="P210" i="5"/>
  <c r="O210" i="5"/>
  <c r="R209" i="5"/>
  <c r="Q209" i="5"/>
  <c r="P209" i="5"/>
  <c r="O209" i="5"/>
  <c r="R208" i="5"/>
  <c r="Q208" i="5"/>
  <c r="P208" i="5"/>
  <c r="O208" i="5"/>
  <c r="R207" i="5"/>
  <c r="Q207" i="5"/>
  <c r="P207" i="5"/>
  <c r="O207" i="5"/>
  <c r="R206" i="5"/>
  <c r="Q206" i="5"/>
  <c r="P206" i="5"/>
  <c r="O206" i="5"/>
  <c r="R205" i="5"/>
  <c r="Q205" i="5"/>
  <c r="P205" i="5"/>
  <c r="O205" i="5"/>
  <c r="R204" i="5"/>
  <c r="Q204" i="5"/>
  <c r="P204" i="5"/>
  <c r="O204" i="5"/>
  <c r="R203" i="5"/>
  <c r="Q203" i="5"/>
  <c r="P203" i="5"/>
  <c r="O203" i="5"/>
  <c r="R202" i="5"/>
  <c r="Q202" i="5"/>
  <c r="P202" i="5"/>
  <c r="O202" i="5"/>
  <c r="R201" i="5"/>
  <c r="Q201" i="5"/>
  <c r="P201" i="5"/>
  <c r="O201" i="5"/>
  <c r="R200" i="5"/>
  <c r="Q200" i="5"/>
  <c r="P200" i="5"/>
  <c r="O200" i="5"/>
  <c r="R199" i="5"/>
  <c r="Q199" i="5"/>
  <c r="P199" i="5"/>
  <c r="O199" i="5"/>
  <c r="R198" i="5"/>
  <c r="Q198" i="5"/>
  <c r="P198" i="5"/>
  <c r="O198" i="5"/>
  <c r="R197" i="5"/>
  <c r="Q197" i="5"/>
  <c r="P197" i="5"/>
  <c r="O197" i="5"/>
  <c r="R196" i="5"/>
  <c r="Q196" i="5"/>
  <c r="P196" i="5"/>
  <c r="O196" i="5"/>
  <c r="R195" i="5"/>
  <c r="Q195" i="5"/>
  <c r="P195" i="5"/>
  <c r="O195" i="5"/>
  <c r="R194" i="5"/>
  <c r="Q194" i="5"/>
  <c r="P194" i="5"/>
  <c r="O194" i="5"/>
  <c r="R193" i="5"/>
  <c r="Q193" i="5"/>
  <c r="P193" i="5"/>
  <c r="O193" i="5"/>
  <c r="R192" i="5"/>
  <c r="Q192" i="5"/>
  <c r="P192" i="5"/>
  <c r="O192" i="5"/>
  <c r="R191" i="5"/>
  <c r="Q191" i="5"/>
  <c r="P191" i="5"/>
  <c r="O191" i="5"/>
  <c r="R190" i="5"/>
  <c r="Q190" i="5"/>
  <c r="P190" i="5"/>
  <c r="O190" i="5"/>
  <c r="R189" i="5"/>
  <c r="Q189" i="5"/>
  <c r="P189" i="5"/>
  <c r="O189" i="5"/>
  <c r="R188" i="5"/>
  <c r="Q188" i="5"/>
  <c r="P188" i="5"/>
  <c r="O188" i="5"/>
  <c r="R187" i="5"/>
  <c r="Q187" i="5"/>
  <c r="P187" i="5"/>
  <c r="O187" i="5"/>
  <c r="R186" i="5"/>
  <c r="Q186" i="5"/>
  <c r="P186" i="5"/>
  <c r="O186" i="5"/>
  <c r="R185" i="5"/>
  <c r="Q185" i="5"/>
  <c r="P185" i="5"/>
  <c r="O185" i="5"/>
  <c r="R184" i="5"/>
  <c r="Q184" i="5"/>
  <c r="P184" i="5"/>
  <c r="O184" i="5"/>
  <c r="R183" i="5"/>
  <c r="Q183" i="5"/>
  <c r="P183" i="5"/>
  <c r="O183" i="5"/>
  <c r="R182" i="5"/>
  <c r="Q182" i="5"/>
  <c r="P182" i="5"/>
  <c r="O182" i="5"/>
  <c r="R181" i="5"/>
  <c r="Q181" i="5"/>
  <c r="P181" i="5"/>
  <c r="O181" i="5"/>
  <c r="R180" i="5"/>
  <c r="Q180" i="5"/>
  <c r="P180" i="5"/>
  <c r="O180" i="5"/>
  <c r="R179" i="5"/>
  <c r="Q179" i="5"/>
  <c r="P179" i="5"/>
  <c r="O179" i="5"/>
  <c r="R178" i="5"/>
  <c r="Q178" i="5"/>
  <c r="P178" i="5"/>
  <c r="O178" i="5"/>
  <c r="R177" i="5"/>
  <c r="Q177" i="5"/>
  <c r="P177" i="5"/>
  <c r="O177" i="5"/>
  <c r="R176" i="5"/>
  <c r="Q176" i="5"/>
  <c r="P176" i="5"/>
  <c r="O176" i="5"/>
  <c r="R175" i="5"/>
  <c r="Q175" i="5"/>
  <c r="P175" i="5"/>
  <c r="O175" i="5"/>
  <c r="R174" i="5"/>
  <c r="Q174" i="5"/>
  <c r="P174" i="5"/>
  <c r="O174" i="5"/>
  <c r="R173" i="5"/>
  <c r="Q173" i="5"/>
  <c r="P173" i="5"/>
  <c r="O173" i="5"/>
  <c r="R172" i="5"/>
  <c r="Q172" i="5"/>
  <c r="P172" i="5"/>
  <c r="O172" i="5"/>
  <c r="R171" i="5"/>
  <c r="Q171" i="5"/>
  <c r="P171" i="5"/>
  <c r="O171" i="5"/>
  <c r="R170" i="5"/>
  <c r="Q170" i="5"/>
  <c r="P170" i="5"/>
  <c r="O170" i="5"/>
  <c r="R169" i="5"/>
  <c r="Q169" i="5"/>
  <c r="P169" i="5"/>
  <c r="O169" i="5"/>
  <c r="R168" i="5"/>
  <c r="Q168" i="5"/>
  <c r="P168" i="5"/>
  <c r="O168" i="5"/>
  <c r="R167" i="5"/>
  <c r="Q167" i="5"/>
  <c r="P167" i="5"/>
  <c r="O167" i="5"/>
  <c r="R166" i="5"/>
  <c r="Q166" i="5"/>
  <c r="P166" i="5"/>
  <c r="O166" i="5"/>
  <c r="R165" i="5"/>
  <c r="Q165" i="5"/>
  <c r="P165" i="5"/>
  <c r="O165" i="5"/>
  <c r="R164" i="5"/>
  <c r="Q164" i="5"/>
  <c r="P164" i="5"/>
  <c r="O164" i="5"/>
  <c r="R163" i="5"/>
  <c r="Q163" i="5"/>
  <c r="P163" i="5"/>
  <c r="O163" i="5"/>
  <c r="R162" i="5"/>
  <c r="Q162" i="5"/>
  <c r="P162" i="5"/>
  <c r="O162" i="5"/>
  <c r="R161" i="5"/>
  <c r="Q161" i="5"/>
  <c r="P161" i="5"/>
  <c r="O161" i="5"/>
  <c r="R160" i="5"/>
  <c r="Q160" i="5"/>
  <c r="P160" i="5"/>
  <c r="O160" i="5"/>
  <c r="R159" i="5"/>
  <c r="Q159" i="5"/>
  <c r="P159" i="5"/>
  <c r="O159" i="5"/>
  <c r="R158" i="5"/>
  <c r="Q158" i="5"/>
  <c r="P158" i="5"/>
  <c r="O158" i="5"/>
  <c r="R157" i="5"/>
  <c r="Q157" i="5"/>
  <c r="P157" i="5"/>
  <c r="O157" i="5"/>
  <c r="R156" i="5"/>
  <c r="Q156" i="5"/>
  <c r="P156" i="5"/>
  <c r="O156" i="5"/>
  <c r="R155" i="5"/>
  <c r="Q155" i="5"/>
  <c r="P155" i="5"/>
  <c r="O155" i="5"/>
  <c r="R154" i="5"/>
  <c r="Q154" i="5"/>
  <c r="P154" i="5"/>
  <c r="O154" i="5"/>
  <c r="R153" i="5"/>
  <c r="Q153" i="5"/>
  <c r="P153" i="5"/>
  <c r="O153" i="5"/>
  <c r="R152" i="5"/>
  <c r="Q152" i="5"/>
  <c r="P152" i="5"/>
  <c r="O152" i="5"/>
  <c r="R151" i="5"/>
  <c r="Q151" i="5"/>
  <c r="P151" i="5"/>
  <c r="O151" i="5"/>
  <c r="R150" i="5"/>
  <c r="Q150" i="5"/>
  <c r="P150" i="5"/>
  <c r="O150" i="5"/>
  <c r="R149" i="5"/>
  <c r="Q149" i="5"/>
  <c r="P149" i="5"/>
  <c r="O149" i="5"/>
  <c r="R148" i="5"/>
  <c r="Q148" i="5"/>
  <c r="P148" i="5"/>
  <c r="O148" i="5"/>
  <c r="R147" i="5"/>
  <c r="Q147" i="5"/>
  <c r="P147" i="5"/>
  <c r="O147" i="5"/>
  <c r="R146" i="5"/>
  <c r="Q146" i="5"/>
  <c r="P146" i="5"/>
  <c r="O146" i="5"/>
  <c r="R145" i="5"/>
  <c r="Q145" i="5"/>
  <c r="P145" i="5"/>
  <c r="O145" i="5"/>
  <c r="R144" i="5"/>
  <c r="Q144" i="5"/>
  <c r="P144" i="5"/>
  <c r="O144" i="5"/>
  <c r="R143" i="5"/>
  <c r="Q143" i="5"/>
  <c r="P143" i="5"/>
  <c r="O143" i="5"/>
  <c r="R142" i="5"/>
  <c r="Q142" i="5"/>
  <c r="P142" i="5"/>
  <c r="O142" i="5"/>
  <c r="R141" i="5"/>
  <c r="Q141" i="5"/>
  <c r="P141" i="5"/>
  <c r="O141" i="5"/>
  <c r="R140" i="5"/>
  <c r="Q140" i="5"/>
  <c r="P140" i="5"/>
  <c r="O140" i="5"/>
  <c r="R139" i="5"/>
  <c r="Q139" i="5"/>
  <c r="P139" i="5"/>
  <c r="O139" i="5"/>
  <c r="R138" i="5"/>
  <c r="Q138" i="5"/>
  <c r="P138" i="5"/>
  <c r="O138" i="5"/>
  <c r="R137" i="5"/>
  <c r="Q137" i="5"/>
  <c r="P137" i="5"/>
  <c r="O137" i="5"/>
  <c r="R136" i="5"/>
  <c r="Q136" i="5"/>
  <c r="P136" i="5"/>
  <c r="O136" i="5"/>
  <c r="R135" i="5"/>
  <c r="Q135" i="5"/>
  <c r="P135" i="5"/>
  <c r="O135" i="5"/>
  <c r="R134" i="5"/>
  <c r="Q134" i="5"/>
  <c r="P134" i="5"/>
  <c r="O134" i="5"/>
  <c r="R133" i="5"/>
  <c r="Q133" i="5"/>
  <c r="P133" i="5"/>
  <c r="O133" i="5"/>
  <c r="R132" i="5"/>
  <c r="Q132" i="5"/>
  <c r="P132" i="5"/>
  <c r="O132" i="5"/>
  <c r="R131" i="5"/>
  <c r="Q131" i="5"/>
  <c r="P131" i="5"/>
  <c r="O131" i="5"/>
  <c r="R130" i="5"/>
  <c r="Q130" i="5"/>
  <c r="P130" i="5"/>
  <c r="O130" i="5"/>
  <c r="R129" i="5"/>
  <c r="Q129" i="5"/>
  <c r="P129" i="5"/>
  <c r="O129" i="5"/>
  <c r="R128" i="5"/>
  <c r="Q128" i="5"/>
  <c r="P128" i="5"/>
  <c r="O128" i="5"/>
  <c r="R127" i="5"/>
  <c r="Q127" i="5"/>
  <c r="P127" i="5"/>
  <c r="O127" i="5"/>
  <c r="R126" i="5"/>
  <c r="Q126" i="5"/>
  <c r="P126" i="5"/>
  <c r="O126" i="5"/>
  <c r="R125" i="5"/>
  <c r="Q125" i="5"/>
  <c r="P125" i="5"/>
  <c r="O125" i="5"/>
  <c r="R124" i="5"/>
  <c r="Q124" i="5"/>
  <c r="P124" i="5"/>
  <c r="O124" i="5"/>
  <c r="R123" i="5"/>
  <c r="Q123" i="5"/>
  <c r="P123" i="5"/>
  <c r="O123" i="5"/>
  <c r="R122" i="5"/>
  <c r="Q122" i="5"/>
  <c r="P122" i="5"/>
  <c r="O122" i="5"/>
  <c r="R121" i="5"/>
  <c r="Q121" i="5"/>
  <c r="P121" i="5"/>
  <c r="O121" i="5"/>
  <c r="R120" i="5"/>
  <c r="Q120" i="5"/>
  <c r="P120" i="5"/>
  <c r="O120" i="5"/>
  <c r="R119" i="5"/>
  <c r="Q119" i="5"/>
  <c r="P119" i="5"/>
  <c r="O119" i="5"/>
  <c r="R118" i="5"/>
  <c r="Q118" i="5"/>
  <c r="P118" i="5"/>
  <c r="O118" i="5"/>
  <c r="R117" i="5"/>
  <c r="Q117" i="5"/>
  <c r="P117" i="5"/>
  <c r="O117" i="5"/>
  <c r="R116" i="5"/>
  <c r="Q116" i="5"/>
  <c r="P116" i="5"/>
  <c r="O116" i="5"/>
  <c r="R115" i="5"/>
  <c r="Q115" i="5"/>
  <c r="P115" i="5"/>
  <c r="O115" i="5"/>
  <c r="R114" i="5"/>
  <c r="Q114" i="5"/>
  <c r="P114" i="5"/>
  <c r="O114" i="5"/>
  <c r="R113" i="5"/>
  <c r="Q113" i="5"/>
  <c r="P113" i="5"/>
  <c r="O113" i="5"/>
  <c r="R112" i="5"/>
  <c r="Q112" i="5"/>
  <c r="P112" i="5"/>
  <c r="O112" i="5"/>
  <c r="R111" i="5"/>
  <c r="Q111" i="5"/>
  <c r="P111" i="5"/>
  <c r="O111" i="5"/>
  <c r="R110" i="5"/>
  <c r="Q110" i="5"/>
  <c r="P110" i="5"/>
  <c r="O110" i="5"/>
  <c r="R109" i="5"/>
  <c r="Q109" i="5"/>
  <c r="P109" i="5"/>
  <c r="O109" i="5"/>
  <c r="R108" i="5"/>
  <c r="Q108" i="5"/>
  <c r="P108" i="5"/>
  <c r="O108" i="5"/>
  <c r="R107" i="5"/>
  <c r="Q107" i="5"/>
  <c r="P107" i="5"/>
  <c r="O107" i="5"/>
  <c r="R106" i="5"/>
  <c r="Q106" i="5"/>
  <c r="P106" i="5"/>
  <c r="O106" i="5"/>
  <c r="R105" i="5"/>
  <c r="Q105" i="5"/>
  <c r="P105" i="5"/>
  <c r="O105" i="5"/>
  <c r="R104" i="5"/>
  <c r="Q104" i="5"/>
  <c r="P104" i="5"/>
  <c r="O104" i="5"/>
  <c r="R103" i="5"/>
  <c r="Q103" i="5"/>
  <c r="P103" i="5"/>
  <c r="O103" i="5"/>
  <c r="R102" i="5"/>
  <c r="Q102" i="5"/>
  <c r="P102" i="5"/>
  <c r="O102" i="5"/>
  <c r="R101" i="5"/>
  <c r="Q101" i="5"/>
  <c r="P101" i="5"/>
  <c r="O101" i="5"/>
  <c r="R100" i="5"/>
  <c r="Q100" i="5"/>
  <c r="P100" i="5"/>
  <c r="O100" i="5"/>
  <c r="R99" i="5"/>
  <c r="Q99" i="5"/>
  <c r="P99" i="5"/>
  <c r="O99" i="5"/>
  <c r="R98" i="5"/>
  <c r="Q98" i="5"/>
  <c r="P98" i="5"/>
  <c r="O98" i="5"/>
  <c r="R97" i="5"/>
  <c r="Q97" i="5"/>
  <c r="P97" i="5"/>
  <c r="O97" i="5"/>
  <c r="R96" i="5"/>
  <c r="Q96" i="5"/>
  <c r="P96" i="5"/>
  <c r="O96" i="5"/>
  <c r="R95" i="5"/>
  <c r="Q95" i="5"/>
  <c r="P95" i="5"/>
  <c r="O95" i="5"/>
  <c r="R94" i="5"/>
  <c r="Q94" i="5"/>
  <c r="P94" i="5"/>
  <c r="O94" i="5"/>
  <c r="R93" i="5"/>
  <c r="Q93" i="5"/>
  <c r="P93" i="5"/>
  <c r="O93" i="5"/>
  <c r="R92" i="5"/>
  <c r="Q92" i="5"/>
  <c r="P92" i="5"/>
  <c r="O92" i="5"/>
  <c r="R91" i="5"/>
  <c r="Q91" i="5"/>
  <c r="P91" i="5"/>
  <c r="O91" i="5"/>
  <c r="R90" i="5"/>
  <c r="Q90" i="5"/>
  <c r="P90" i="5"/>
  <c r="O90" i="5"/>
  <c r="R89" i="5"/>
  <c r="Q89" i="5"/>
  <c r="P89" i="5"/>
  <c r="O89" i="5"/>
  <c r="R88" i="5"/>
  <c r="Q88" i="5"/>
  <c r="P88" i="5"/>
  <c r="O88" i="5"/>
  <c r="R87" i="5"/>
  <c r="Q87" i="5"/>
  <c r="P87" i="5"/>
  <c r="O87" i="5"/>
  <c r="R86" i="5"/>
  <c r="Q86" i="5"/>
  <c r="P86" i="5"/>
  <c r="O86" i="5"/>
  <c r="R85" i="5"/>
  <c r="Q85" i="5"/>
  <c r="P85" i="5"/>
  <c r="O85" i="5"/>
  <c r="R84" i="5"/>
  <c r="Q84" i="5"/>
  <c r="P84" i="5"/>
  <c r="O84" i="5"/>
  <c r="R83" i="5"/>
  <c r="Q83" i="5"/>
  <c r="P83" i="5"/>
  <c r="O83" i="5"/>
  <c r="R82" i="5"/>
  <c r="Q82" i="5"/>
  <c r="P82" i="5"/>
  <c r="O82" i="5"/>
  <c r="R81" i="5"/>
  <c r="Q81" i="5"/>
  <c r="P81" i="5"/>
  <c r="O81" i="5"/>
  <c r="R80" i="5"/>
  <c r="Q80" i="5"/>
  <c r="P80" i="5"/>
  <c r="O80" i="5"/>
  <c r="R79" i="5"/>
  <c r="Q79" i="5"/>
  <c r="P79" i="5"/>
  <c r="O79" i="5"/>
  <c r="R78" i="5"/>
  <c r="Q78" i="5"/>
  <c r="P78" i="5"/>
  <c r="O78" i="5"/>
  <c r="R77" i="5"/>
  <c r="Q77" i="5"/>
  <c r="P77" i="5"/>
  <c r="O77" i="5"/>
  <c r="R76" i="5"/>
  <c r="Q76" i="5"/>
  <c r="P76" i="5"/>
  <c r="O76" i="5"/>
  <c r="R75" i="5"/>
  <c r="Q75" i="5"/>
  <c r="P75" i="5"/>
  <c r="O75" i="5"/>
  <c r="R74" i="5"/>
  <c r="Q74" i="5"/>
  <c r="P74" i="5"/>
  <c r="O74" i="5"/>
  <c r="R73" i="5"/>
  <c r="Q73" i="5"/>
  <c r="P73" i="5"/>
  <c r="O73" i="5"/>
  <c r="R72" i="5"/>
  <c r="Q72" i="5"/>
  <c r="P72" i="5"/>
  <c r="O72" i="5"/>
  <c r="R71" i="5"/>
  <c r="Q71" i="5"/>
  <c r="P71" i="5"/>
  <c r="O71" i="5"/>
  <c r="R70" i="5"/>
  <c r="Q70" i="5"/>
  <c r="P70" i="5"/>
  <c r="O70" i="5"/>
  <c r="R69" i="5"/>
  <c r="Q69" i="5"/>
  <c r="P69" i="5"/>
  <c r="O69" i="5"/>
  <c r="R68" i="5"/>
  <c r="Q68" i="5"/>
  <c r="P68" i="5"/>
  <c r="O68" i="5"/>
  <c r="R67" i="5"/>
  <c r="Q67" i="5"/>
  <c r="P67" i="5"/>
  <c r="O67" i="5"/>
  <c r="R66" i="5"/>
  <c r="Q66" i="5"/>
  <c r="P66" i="5"/>
  <c r="O66" i="5"/>
  <c r="R65" i="5"/>
  <c r="Q65" i="5"/>
  <c r="P65" i="5"/>
  <c r="O65" i="5"/>
  <c r="R64" i="5"/>
  <c r="Q64" i="5"/>
  <c r="P64" i="5"/>
  <c r="O64" i="5"/>
  <c r="R63" i="5"/>
  <c r="Q63" i="5"/>
  <c r="P63" i="5"/>
  <c r="O63" i="5"/>
  <c r="R62" i="5"/>
  <c r="Q62" i="5"/>
  <c r="P62" i="5"/>
  <c r="O62" i="5"/>
  <c r="R61" i="5"/>
  <c r="Q61" i="5"/>
  <c r="P61" i="5"/>
  <c r="O61" i="5"/>
  <c r="R60" i="5"/>
  <c r="Q60" i="5"/>
  <c r="P60" i="5"/>
  <c r="O60" i="5"/>
  <c r="R59" i="5"/>
  <c r="Q59" i="5"/>
  <c r="P59" i="5"/>
  <c r="O59" i="5"/>
  <c r="R58" i="5"/>
  <c r="Q58" i="5"/>
  <c r="P58" i="5"/>
  <c r="O58" i="5"/>
  <c r="R57" i="5"/>
  <c r="Q57" i="5"/>
  <c r="P57" i="5"/>
  <c r="O57" i="5"/>
  <c r="R56" i="5"/>
  <c r="Q56" i="5"/>
  <c r="P56" i="5"/>
  <c r="O56" i="5"/>
  <c r="R55" i="5"/>
  <c r="Q55" i="5"/>
  <c r="P55" i="5"/>
  <c r="O55" i="5"/>
  <c r="R54" i="5"/>
  <c r="Q54" i="5"/>
  <c r="P54" i="5"/>
  <c r="O54" i="5"/>
  <c r="R53" i="5"/>
  <c r="Q53" i="5"/>
  <c r="P53" i="5"/>
  <c r="O53" i="5"/>
  <c r="R52" i="5"/>
  <c r="Q52" i="5"/>
  <c r="P52" i="5"/>
  <c r="O52" i="5"/>
  <c r="R51" i="5"/>
  <c r="Q51" i="5"/>
  <c r="P51" i="5"/>
  <c r="O51" i="5"/>
  <c r="R50" i="5"/>
  <c r="Q50" i="5"/>
  <c r="P50" i="5"/>
  <c r="O50" i="5"/>
  <c r="R49" i="5"/>
  <c r="Q49" i="5"/>
  <c r="P49" i="5"/>
  <c r="O49" i="5"/>
  <c r="R48" i="5"/>
  <c r="Q48" i="5"/>
  <c r="P48" i="5"/>
  <c r="O48" i="5"/>
  <c r="R47" i="5"/>
  <c r="Q47" i="5"/>
  <c r="P47" i="5"/>
  <c r="O47" i="5"/>
  <c r="R46" i="5"/>
  <c r="Q46" i="5"/>
  <c r="P46" i="5"/>
  <c r="O46" i="5"/>
  <c r="R45" i="5"/>
  <c r="Q45" i="5"/>
  <c r="P45" i="5"/>
  <c r="O45" i="5"/>
  <c r="R44" i="5"/>
  <c r="Q44" i="5"/>
  <c r="P44" i="5"/>
  <c r="O44" i="5"/>
  <c r="R43" i="5"/>
  <c r="Q43" i="5"/>
  <c r="P43" i="5"/>
  <c r="O43" i="5"/>
  <c r="R42" i="5"/>
  <c r="Q42" i="5"/>
  <c r="P42" i="5"/>
  <c r="O42" i="5"/>
  <c r="R41" i="5"/>
  <c r="Q41" i="5"/>
  <c r="P41" i="5"/>
  <c r="O41" i="5"/>
  <c r="R40" i="5"/>
  <c r="Q40" i="5"/>
  <c r="P40" i="5"/>
  <c r="O40" i="5"/>
  <c r="R39" i="5"/>
  <c r="Q39" i="5"/>
  <c r="P39" i="5"/>
  <c r="O39" i="5"/>
  <c r="R38" i="5"/>
  <c r="Q38" i="5"/>
  <c r="P38" i="5"/>
  <c r="O38" i="5"/>
  <c r="R37" i="5"/>
  <c r="Q37" i="5"/>
  <c r="P37" i="5"/>
  <c r="O37" i="5"/>
  <c r="R36" i="5"/>
  <c r="Q36" i="5"/>
  <c r="P36" i="5"/>
  <c r="O36" i="5"/>
  <c r="R35" i="5"/>
  <c r="Q35" i="5"/>
  <c r="P35" i="5"/>
  <c r="O35" i="5"/>
  <c r="R34" i="5"/>
  <c r="Q34" i="5"/>
  <c r="P34" i="5"/>
  <c r="O34" i="5"/>
  <c r="R33" i="5"/>
  <c r="Q33" i="5"/>
  <c r="P33" i="5"/>
  <c r="O33" i="5"/>
  <c r="R32" i="5"/>
  <c r="Q32" i="5"/>
  <c r="P32" i="5"/>
  <c r="O32" i="5"/>
  <c r="R31" i="5"/>
  <c r="Q31" i="5"/>
  <c r="P31" i="5"/>
  <c r="O31" i="5"/>
  <c r="R30" i="5"/>
  <c r="Q30" i="5"/>
  <c r="P30" i="5"/>
  <c r="O30" i="5"/>
  <c r="R29" i="5"/>
  <c r="Q29" i="5"/>
  <c r="P29" i="5"/>
  <c r="O29" i="5"/>
  <c r="R28" i="5"/>
  <c r="Q28" i="5"/>
  <c r="P28" i="5"/>
  <c r="O28" i="5"/>
  <c r="R27" i="5"/>
  <c r="Q27" i="5"/>
  <c r="P27" i="5"/>
  <c r="O27" i="5"/>
  <c r="R26" i="5"/>
  <c r="Q26" i="5"/>
  <c r="P26" i="5"/>
  <c r="O26" i="5"/>
  <c r="R25" i="5"/>
  <c r="Q25" i="5"/>
  <c r="P25" i="5"/>
  <c r="O25" i="5"/>
  <c r="R24" i="5"/>
  <c r="Q24" i="5"/>
  <c r="P24" i="5"/>
  <c r="O24" i="5"/>
  <c r="R23" i="5"/>
  <c r="Q23" i="5"/>
  <c r="P23" i="5"/>
  <c r="O23" i="5"/>
  <c r="R22" i="5"/>
  <c r="Q22" i="5"/>
  <c r="P22" i="5"/>
  <c r="O22" i="5"/>
  <c r="R21" i="5"/>
  <c r="Q21" i="5"/>
  <c r="P21" i="5"/>
  <c r="O21" i="5"/>
  <c r="R20" i="5"/>
  <c r="Q20" i="5"/>
  <c r="P20" i="5"/>
  <c r="O20" i="5"/>
  <c r="R19" i="5"/>
  <c r="Q19" i="5"/>
  <c r="P19" i="5"/>
  <c r="O19" i="5"/>
  <c r="R18" i="5"/>
  <c r="Q18" i="5"/>
  <c r="P18" i="5"/>
  <c r="O18" i="5"/>
  <c r="R17" i="5"/>
  <c r="Q17" i="5"/>
  <c r="P17" i="5"/>
  <c r="O17" i="5"/>
  <c r="R16" i="5"/>
  <c r="Q16" i="5"/>
  <c r="P16" i="5"/>
  <c r="O16" i="5"/>
  <c r="R15" i="5"/>
  <c r="Q15" i="5"/>
  <c r="P15" i="5"/>
  <c r="O15" i="5"/>
  <c r="R14" i="5"/>
  <c r="Q14" i="5"/>
  <c r="P14" i="5"/>
  <c r="O14" i="5"/>
  <c r="R13" i="5"/>
  <c r="Q13" i="5"/>
  <c r="P13" i="5"/>
  <c r="O13" i="5"/>
  <c r="R12" i="5"/>
  <c r="Q12" i="5"/>
  <c r="P12" i="5"/>
  <c r="O12" i="5"/>
  <c r="R11" i="5"/>
  <c r="Q11" i="5"/>
  <c r="P11" i="5"/>
  <c r="O11" i="5"/>
  <c r="R10" i="5"/>
  <c r="Q10" i="5"/>
  <c r="P10" i="5"/>
  <c r="O10" i="5"/>
  <c r="R9" i="5"/>
  <c r="Q9" i="5"/>
  <c r="P9" i="5"/>
  <c r="O9" i="5"/>
  <c r="R8" i="5"/>
  <c r="Q8" i="5"/>
  <c r="P8" i="5"/>
  <c r="O8" i="5"/>
  <c r="R7" i="5"/>
  <c r="Q7" i="5"/>
  <c r="P7" i="5"/>
  <c r="O7" i="5"/>
  <c r="R6" i="5"/>
  <c r="Q6" i="5"/>
  <c r="P6" i="5"/>
  <c r="O6" i="5"/>
  <c r="R5" i="5"/>
  <c r="Q5" i="5"/>
  <c r="P5" i="5"/>
  <c r="O5" i="5"/>
  <c r="R4" i="5"/>
  <c r="Q4" i="5"/>
  <c r="P4" i="5"/>
  <c r="O4" i="5"/>
  <c r="R3" i="5"/>
  <c r="Q3" i="5"/>
  <c r="P3" i="5"/>
  <c r="O3" i="5"/>
  <c r="R2" i="5"/>
  <c r="Q2" i="5"/>
  <c r="P2" i="5"/>
  <c r="O2" i="5"/>
  <c r="C38" i="3"/>
  <c r="E38" i="3"/>
  <c r="B38" i="3"/>
  <c r="D38" i="3"/>
  <c r="C37" i="3"/>
  <c r="E37" i="3"/>
  <c r="B37" i="3"/>
  <c r="D37" i="3"/>
  <c r="C36" i="3"/>
  <c r="E36" i="3"/>
  <c r="B36" i="3"/>
  <c r="D36" i="3"/>
  <c r="C35" i="3"/>
  <c r="E35" i="3"/>
  <c r="B35" i="3"/>
  <c r="D35" i="3"/>
  <c r="C34" i="3"/>
  <c r="E34" i="3"/>
  <c r="B34" i="3"/>
  <c r="D34" i="3"/>
  <c r="C31" i="3"/>
  <c r="E31" i="3"/>
  <c r="B31" i="3"/>
  <c r="D31" i="3"/>
  <c r="C30" i="3"/>
  <c r="E30" i="3"/>
  <c r="B30" i="3"/>
  <c r="D30" i="3"/>
  <c r="C29" i="3"/>
  <c r="E29" i="3"/>
  <c r="B29" i="3"/>
  <c r="D29" i="3"/>
  <c r="C28" i="3"/>
  <c r="E28" i="3"/>
  <c r="B28" i="3"/>
  <c r="D28" i="3"/>
  <c r="C25" i="3"/>
  <c r="E25" i="3"/>
  <c r="B25" i="3"/>
  <c r="D25" i="3"/>
  <c r="C24" i="3"/>
  <c r="E24" i="3"/>
  <c r="B24" i="3"/>
  <c r="D24" i="3"/>
  <c r="C23" i="3"/>
  <c r="E23" i="3"/>
  <c r="B23" i="3"/>
  <c r="D23" i="3"/>
  <c r="C22" i="3"/>
  <c r="E22" i="3"/>
  <c r="B22" i="3"/>
  <c r="D22" i="3"/>
  <c r="C21" i="3"/>
  <c r="E21" i="3"/>
  <c r="B21" i="3"/>
  <c r="D21" i="3"/>
  <c r="C18" i="3"/>
  <c r="E18" i="3"/>
  <c r="B18" i="3"/>
  <c r="D18" i="3"/>
  <c r="C17" i="3"/>
  <c r="E17" i="3"/>
  <c r="B17" i="3"/>
  <c r="D17" i="3"/>
  <c r="C16" i="3"/>
  <c r="E16" i="3"/>
  <c r="B16" i="3"/>
  <c r="D16" i="3"/>
  <c r="C15" i="3"/>
  <c r="E15" i="3"/>
  <c r="B15" i="3"/>
  <c r="D15" i="3"/>
  <c r="C14" i="3"/>
  <c r="E14" i="3"/>
  <c r="B14" i="3"/>
  <c r="D14" i="3"/>
  <c r="C11" i="3"/>
  <c r="E11" i="3"/>
  <c r="B11" i="3"/>
  <c r="D11" i="3"/>
  <c r="C10" i="3"/>
  <c r="E10" i="3"/>
  <c r="B10" i="3"/>
  <c r="D10" i="3"/>
  <c r="C9" i="3"/>
  <c r="E9" i="3"/>
  <c r="B9" i="3"/>
  <c r="D9" i="3"/>
  <c r="C8" i="3"/>
  <c r="E8" i="3"/>
  <c r="B8" i="3"/>
  <c r="D8" i="3"/>
  <c r="C7" i="3"/>
  <c r="E7" i="3"/>
  <c r="B7" i="3"/>
  <c r="D7" i="3"/>
  <c r="C6" i="3"/>
  <c r="E6" i="3"/>
  <c r="B6" i="3"/>
  <c r="D6" i="3"/>
  <c r="C5" i="3"/>
  <c r="E5" i="3"/>
  <c r="B5" i="3"/>
  <c r="D5" i="3"/>
  <c r="B45" i="2"/>
  <c r="C45" i="2"/>
  <c r="D45" i="2"/>
  <c r="B44" i="2"/>
  <c r="C44" i="2"/>
  <c r="D44" i="2"/>
  <c r="B43" i="2"/>
  <c r="C43" i="2"/>
  <c r="D43" i="2"/>
  <c r="B42" i="2"/>
  <c r="C42" i="2"/>
  <c r="D42" i="2"/>
  <c r="B41" i="2"/>
  <c r="C41" i="2"/>
  <c r="D41" i="2"/>
  <c r="B40" i="2"/>
  <c r="C40" i="2"/>
  <c r="D40" i="2"/>
  <c r="B39" i="2"/>
  <c r="C39" i="2"/>
  <c r="D39" i="2"/>
  <c r="B38" i="2"/>
  <c r="C38" i="2"/>
  <c r="D38" i="2"/>
  <c r="B37" i="2"/>
  <c r="C37" i="2"/>
  <c r="D37" i="2"/>
  <c r="B36" i="2"/>
  <c r="C36" i="2"/>
  <c r="D36" i="2"/>
  <c r="B35" i="2"/>
  <c r="C35" i="2"/>
  <c r="D35" i="2"/>
  <c r="B34" i="2"/>
  <c r="C34" i="2"/>
  <c r="D34" i="2"/>
  <c r="B33" i="2"/>
  <c r="C33" i="2"/>
  <c r="D33" i="2"/>
  <c r="B32" i="2"/>
  <c r="C32" i="2"/>
  <c r="D32" i="2"/>
  <c r="B31" i="2"/>
  <c r="C31" i="2"/>
  <c r="D31" i="2"/>
  <c r="B30" i="2"/>
  <c r="C30" i="2"/>
  <c r="D30" i="2"/>
  <c r="B29" i="2"/>
  <c r="C29" i="2"/>
  <c r="D29" i="2"/>
  <c r="B28" i="2"/>
  <c r="C28" i="2"/>
  <c r="D28" i="2"/>
  <c r="B27" i="2"/>
  <c r="C27" i="2"/>
  <c r="D27" i="2"/>
  <c r="B26" i="2"/>
  <c r="C26" i="2"/>
  <c r="D26" i="2"/>
  <c r="B25" i="2"/>
  <c r="C25" i="2"/>
  <c r="D25" i="2"/>
  <c r="B24" i="2"/>
  <c r="C24" i="2"/>
  <c r="D24" i="2"/>
  <c r="B23" i="2"/>
  <c r="C23" i="2"/>
  <c r="D23" i="2"/>
  <c r="B22" i="2"/>
  <c r="C22" i="2"/>
  <c r="D22" i="2"/>
  <c r="B21" i="2"/>
  <c r="C21" i="2"/>
  <c r="D21" i="2"/>
  <c r="B20" i="2"/>
  <c r="C20" i="2"/>
  <c r="D20" i="2"/>
  <c r="B19" i="2"/>
  <c r="C19" i="2"/>
  <c r="D19" i="2"/>
  <c r="B18" i="2"/>
  <c r="C18" i="2"/>
  <c r="D18" i="2"/>
  <c r="B17" i="2"/>
  <c r="C17" i="2"/>
  <c r="D17" i="2"/>
  <c r="B16" i="2"/>
  <c r="C16" i="2"/>
  <c r="D16" i="2"/>
  <c r="B6" i="2"/>
  <c r="B7" i="2"/>
  <c r="B11" i="2"/>
  <c r="B12" i="2"/>
  <c r="C12" i="2"/>
  <c r="C11" i="2"/>
  <c r="C7" i="2"/>
  <c r="D7" i="2"/>
  <c r="C6" i="2"/>
  <c r="D6" i="2"/>
  <c r="G7" i="2"/>
  <c r="F7" i="2"/>
  <c r="E7" i="2"/>
  <c r="C5" i="2"/>
  <c r="B5" i="2"/>
  <c r="D5" i="2"/>
  <c r="G6" i="2"/>
  <c r="F6" i="2"/>
  <c r="E6" i="2"/>
  <c r="B23" i="1"/>
  <c r="B31" i="1"/>
  <c r="B30" i="1"/>
  <c r="B29" i="1"/>
  <c r="B27" i="1"/>
  <c r="B5" i="1"/>
  <c r="B28" i="1"/>
  <c r="B24" i="1"/>
  <c r="B25" i="1"/>
  <c r="B26" i="1"/>
  <c r="B19" i="1"/>
  <c r="B20" i="1"/>
  <c r="B18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</calcChain>
</file>

<file path=xl/sharedStrings.xml><?xml version="1.0" encoding="utf-8"?>
<sst xmlns="http://schemas.openxmlformats.org/spreadsheetml/2006/main" count="10660" uniqueCount="4353">
  <si>
    <t>Order Dataset - Descriptive Statistics &amp; Key Findings</t>
  </si>
  <si>
    <t>Source: Assignment_Week_2_project.xlsx | 1,200 orders, Jan 2023 - Jun 2025 | All figures below are live formulas on the Data sheet</t>
  </si>
  <si>
    <t>Metric</t>
  </si>
  <si>
    <t>Total Price</t>
  </si>
  <si>
    <t>Unit Price</t>
  </si>
  <si>
    <t>Quantity</t>
  </si>
  <si>
    <t>Items in Cart</t>
  </si>
  <si>
    <t>Count</t>
  </si>
  <si>
    <t>Mean</t>
  </si>
  <si>
    <t>Median</t>
  </si>
  <si>
    <t>Std Dev</t>
  </si>
  <si>
    <t>Min</t>
  </si>
  <si>
    <t>Max</t>
  </si>
  <si>
    <t>Skewness</t>
  </si>
  <si>
    <t>Note: currency columns (Total/Unit Price) are in $; Quantity and Items in Cart are unit counts.</t>
  </si>
  <si>
    <t>Outlier test (Total Price, IQR method)</t>
  </si>
  <si>
    <t>Value</t>
  </si>
  <si>
    <t>Q1 (25th percentile)</t>
  </si>
  <si>
    <t>Q3 (75th percentile)</t>
  </si>
  <si>
    <t>IQR</t>
  </si>
  <si>
    <t>Upper fence (Q3 + 1.5 x IQR)</t>
  </si>
  <si>
    <t>Lower fence (Q1 - 1.5 x IQR)</t>
  </si>
  <si>
    <t>Orders above upper fence</t>
  </si>
  <si>
    <t>Share of all orders</t>
  </si>
  <si>
    <t>Headline figures</t>
  </si>
  <si>
    <t>Gross revenue</t>
  </si>
  <si>
    <t>Revenue from Cancelled + Returned</t>
  </si>
  <si>
    <t>Net revenue (excl. Cancelled/Returned)</t>
  </si>
  <si>
    <t>Net as % of gross</t>
  </si>
  <si>
    <t>Cancelled + Returned orders</t>
  </si>
  <si>
    <t>% of orders Cancelled/Returned</t>
  </si>
  <si>
    <t>Unique customers</t>
  </si>
  <si>
    <t>Orders with no coupon</t>
  </si>
  <si>
    <t>Top-10% orders: share of revenue</t>
  </si>
  <si>
    <t>Key observations</t>
  </si>
  <si>
    <t>1. Revenue is declining ~10% per year on a like-for-like Jan-Jun basis; the drop is driven mainly by lower average order value, with order counts down only modestly (see Trends).</t>
  </si>
  <si>
    <t>2. About 41% of orders and value are Cancelled or Returned; net revenue is roughly 59% of gross. This is the largest issue in the data.</t>
  </si>
  <si>
    <t>3. Order value is driven by unit price and quantity. Product type, coupon, payment method and referral source show no material difference in average order value (see Segments).</t>
  </si>
  <si>
    <t>4. Only 8 orders (0.7%) breach the IQR upper fence; all are Quantity 5 at unit price above $665. They are valid large orders, not errors. No outliers by z-score.</t>
  </si>
  <si>
    <t>5. No true seasonality: Jan-Jun looks stronger only because it appears in 3 years vs 2 for Jul-Dec. Orders per year are ~240 in each half.</t>
  </si>
  <si>
    <t>6. Data-quality flags: TotalPrice equals Quantity x UnitPrice on every row (coupon discounts not reflected); every order has a tracking number, even Cancelled/Pending; status split is near-uniform, which looks synthetic.</t>
  </si>
  <si>
    <t>Trends Over Time</t>
  </si>
  <si>
    <t>H1 = Jan 1 - Jun 30 (the only period available in all three years, so the fair like-for-like comparison)</t>
  </si>
  <si>
    <t>Year (H1)</t>
  </si>
  <si>
    <t>Orders</t>
  </si>
  <si>
    <t>Revenue ($)</t>
  </si>
  <si>
    <t>Avg Order Value ($)</t>
  </si>
  <si>
    <t>Orders YoY</t>
  </si>
  <si>
    <t>Revenue YoY</t>
  </si>
  <si>
    <t>AOV YoY</t>
  </si>
  <si>
    <t>n/a</t>
  </si>
  <si>
    <t>Half-year check</t>
  </si>
  <si>
    <t>Orders per year</t>
  </si>
  <si>
    <t>Jan-Jun (3 years of data)</t>
  </si>
  <si>
    <t>Jul-Dec (2 years of data)</t>
  </si>
  <si>
    <t>Orders per year are equal in both halves, so there is no seasonality; the raw Jan-Jun lead is a coverage artifact.</t>
  </si>
  <si>
    <t>Month</t>
  </si>
  <si>
    <t>Segment Breakdown</t>
  </si>
  <si>
    <t>Counts, revenue and average order value by category (formulas on Data sheet)</t>
  </si>
  <si>
    <t>Product</t>
  </si>
  <si>
    <t>% of Revenue</t>
  </si>
  <si>
    <t>Chair</t>
  </si>
  <si>
    <t>Printer</t>
  </si>
  <si>
    <t>Laptop</t>
  </si>
  <si>
    <t>Tablet</t>
  </si>
  <si>
    <t>Monitor</t>
  </si>
  <si>
    <t>Desk</t>
  </si>
  <si>
    <t>Phone</t>
  </si>
  <si>
    <t>Order Status</t>
  </si>
  <si>
    <t>Delivered</t>
  </si>
  <si>
    <t>Shipped</t>
  </si>
  <si>
    <t>Pending</t>
  </si>
  <si>
    <t>Returned</t>
  </si>
  <si>
    <t>Cancelled</t>
  </si>
  <si>
    <t>Payment Method</t>
  </si>
  <si>
    <t>Cash</t>
  </si>
  <si>
    <t>Credit Card</t>
  </si>
  <si>
    <t>Debit Card</t>
  </si>
  <si>
    <t>Gift Card</t>
  </si>
  <si>
    <t>Online</t>
  </si>
  <si>
    <t>Coupon Code</t>
  </si>
  <si>
    <t>None</t>
  </si>
  <si>
    <t>FREESHIP</t>
  </si>
  <si>
    <t>SAVE10</t>
  </si>
  <si>
    <t>WINTER15</t>
  </si>
  <si>
    <t>Referral Source</t>
  </si>
  <si>
    <t>Email</t>
  </si>
  <si>
    <t>Facebook</t>
  </si>
  <si>
    <t>Google</t>
  </si>
  <si>
    <t>Instagram</t>
  </si>
  <si>
    <t>Referral</t>
  </si>
  <si>
    <t>Total Price Outliers (IQR method)</t>
  </si>
  <si>
    <t>Static extract of orders above the upper fence on Summary!B17; the count on Summary!B19 is live and will differ if data changes</t>
  </si>
  <si>
    <t>OrderID</t>
  </si>
  <si>
    <t>Date</t>
  </si>
  <si>
    <t>ORD200789</t>
  </si>
  <si>
    <t>ORD201122</t>
  </si>
  <si>
    <t>ORD200632</t>
  </si>
  <si>
    <t>ORD200469</t>
  </si>
  <si>
    <t>ORD200328</t>
  </si>
  <si>
    <t>ORD200107</t>
  </si>
  <si>
    <t>ORD200326</t>
  </si>
  <si>
    <t>ORD201065</t>
  </si>
  <si>
    <t>All outliers are Quantity 5 at unit prices above $665: legitimate large orders rather than data errors.</t>
  </si>
  <si>
    <t>CustomerID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</si>
  <si>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</si>
  <si>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</si>
  <si>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</si>
  <si>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</si>
  <si>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</si>
  <si>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</si>
  <si>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</si>
  <si>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</si>
  <si>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</si>
  <si>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Year</t>
  </si>
  <si>
    <t>OutlierFlag</t>
  </si>
  <si>
    <t>CouponClean</t>
  </si>
  <si>
    <t>ORD200000</t>
  </si>
  <si>
    <t>C72649</t>
  </si>
  <si>
    <t>928 Main St</t>
  </si>
  <si>
    <t>TRK37947903</t>
  </si>
  <si>
    <t>ORD200001</t>
  </si>
  <si>
    <t>C75739</t>
  </si>
  <si>
    <t>823 Main St</t>
  </si>
  <si>
    <t>TRK91186779</t>
  </si>
  <si>
    <t>ORD200002</t>
  </si>
  <si>
    <t>C81728</t>
  </si>
  <si>
    <t>512 Main St</t>
  </si>
  <si>
    <t>TRK42903982</t>
  </si>
  <si>
    <t>ORD200003</t>
  </si>
  <si>
    <t>C33540</t>
  </si>
  <si>
    <t>275 Main St</t>
  </si>
  <si>
    <t>TRK62788070</t>
  </si>
  <si>
    <t>ORD200004</t>
  </si>
  <si>
    <t>C81840</t>
  </si>
  <si>
    <t>668 Main St</t>
  </si>
  <si>
    <t>TRK29241424</t>
  </si>
  <si>
    <t>ORD200005</t>
  </si>
  <si>
    <t>C37249</t>
  </si>
  <si>
    <t>934 Main St</t>
  </si>
  <si>
    <t>TRK72976927</t>
  </si>
  <si>
    <t>ORD200006</t>
  </si>
  <si>
    <t>C83492</t>
  </si>
  <si>
    <t>986 Main St</t>
  </si>
  <si>
    <t>TRK96417362</t>
  </si>
  <si>
    <t>ORD200007</t>
  </si>
  <si>
    <t>C41460</t>
  </si>
  <si>
    <t>706 Main St</t>
  </si>
  <si>
    <t>TRK78809193</t>
  </si>
  <si>
    <t>ORD200008</t>
  </si>
  <si>
    <t>C26817</t>
  </si>
  <si>
    <t>904 Main St</t>
  </si>
  <si>
    <t>TRK61042692</t>
  </si>
  <si>
    <t>ORD200009</t>
  </si>
  <si>
    <t>C31946</t>
  </si>
  <si>
    <t>102 Main St</t>
  </si>
  <si>
    <t>TRK33478363</t>
  </si>
  <si>
    <t>ORD200010</t>
  </si>
  <si>
    <t>C43443</t>
  </si>
  <si>
    <t>333 Main St</t>
  </si>
  <si>
    <t>TRK98859248</t>
  </si>
  <si>
    <t>ORD200011</t>
  </si>
  <si>
    <t>C93861</t>
  </si>
  <si>
    <t>831 Main St</t>
  </si>
  <si>
    <t>TRK48234646</t>
  </si>
  <si>
    <t>ORD200012</t>
  </si>
  <si>
    <t>C38785</t>
  </si>
  <si>
    <t>179 Main St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</si>
  <si>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</si>
  <si>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</si>
  <si>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</si>
  <si>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</si>
  <si>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</si>
  <si>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</si>
  <si>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</si>
  <si>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</si>
  <si>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</si>
  <si>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</si>
  <si>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</si>
  <si>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</si>
  <si>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</si>
  <si>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</si>
  <si>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</si>
  <si>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</si>
  <si>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</si>
  <si>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</si>
  <si>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</si>
  <si>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</si>
  <si>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</si>
  <si>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</si>
  <si>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</si>
  <si>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</si>
  <si>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</si>
  <si>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</si>
  <si>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</si>
  <si>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</si>
  <si>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</si>
  <si>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</si>
  <si>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</si>
  <si>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</si>
  <si>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</si>
  <si>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</si>
  <si>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</si>
  <si>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</si>
  <si>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</si>
  <si>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</si>
  <si>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</si>
  <si>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</si>
  <si>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</si>
  <si>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</si>
  <si>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</si>
  <si>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</si>
  <si>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</si>
  <si>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</si>
  <si>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</si>
  <si>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</si>
  <si>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</si>
  <si>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</si>
  <si>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</si>
  <si>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</si>
  <si>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</si>
  <si>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</si>
  <si>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</si>
  <si>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</si>
  <si>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</si>
  <si>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</si>
  <si>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</si>
  <si>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</si>
  <si>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</si>
  <si>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</si>
  <si>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</si>
  <si>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</si>
  <si>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</si>
  <si>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</si>
  <si>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</si>
  <si>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</si>
  <si>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</si>
  <si>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</si>
  <si>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</si>
  <si>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</si>
  <si>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</si>
  <si>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</si>
  <si>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</si>
  <si>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</si>
  <si>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</si>
  <si>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</si>
  <si>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</si>
  <si>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</si>
  <si>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</si>
  <si>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</si>
  <si>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</si>
  <si>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</si>
  <si>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</si>
  <si>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</si>
  <si>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</si>
  <si>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</si>
  <si>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</si>
  <si>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</si>
  <si>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</si>
  <si>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</si>
  <si>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</si>
  <si>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</si>
  <si>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</si>
  <si>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</si>
  <si>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</si>
  <si>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</si>
  <si>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</si>
  <si>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</si>
  <si>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</si>
  <si>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</si>
  <si>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</si>
  <si>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</si>
  <si>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</si>
  <si>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</si>
  <si>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</si>
  <si>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</si>
  <si>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</si>
  <si>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</si>
  <si>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</si>
  <si>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</si>
  <si>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</si>
  <si>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</si>
  <si>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</si>
  <si>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</si>
  <si>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</si>
  <si>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</si>
  <si>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</si>
  <si>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</si>
  <si>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</si>
  <si>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</si>
  <si>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</si>
  <si>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</si>
  <si>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</si>
  <si>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</si>
  <si>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</si>
  <si>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</si>
  <si>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</si>
  <si>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</si>
  <si>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</si>
  <si>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</si>
  <si>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</si>
  <si>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</si>
  <si>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</si>
  <si>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</si>
  <si>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</si>
  <si>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</si>
  <si>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</si>
  <si>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</si>
  <si>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</si>
  <si>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</si>
  <si>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</si>
  <si>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</si>
  <si>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</si>
  <si>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</si>
  <si>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</si>
  <si>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</si>
  <si>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</si>
  <si>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</si>
  <si>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</si>
  <si>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</si>
  <si>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</si>
  <si>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</si>
  <si>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</si>
  <si>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</si>
  <si>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</si>
  <si>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</si>
  <si>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</si>
  <si>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</si>
  <si>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</si>
  <si>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</si>
  <si>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</si>
  <si>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</si>
  <si>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</si>
  <si>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</si>
  <si>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</si>
  <si>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</si>
  <si>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</si>
  <si>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</si>
  <si>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</si>
  <si>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</si>
  <si>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</si>
  <si>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</si>
  <si>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</si>
  <si>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</si>
  <si>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</si>
  <si>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</si>
  <si>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</si>
  <si>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</si>
  <si>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</si>
  <si>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</si>
  <si>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</si>
  <si>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</si>
  <si>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</si>
  <si>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</si>
  <si>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</si>
  <si>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</si>
  <si>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</si>
  <si>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</si>
  <si>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</si>
  <si>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</si>
  <si>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</si>
  <si>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</si>
  <si>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</si>
  <si>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</si>
  <si>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</si>
  <si>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</si>
  <si>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</si>
  <si>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</si>
  <si>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</si>
  <si>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</si>
  <si>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</si>
  <si>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</si>
  <si>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</si>
  <si>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</si>
  <si>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</si>
  <si>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</si>
  <si>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</si>
  <si>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</si>
  <si>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</si>
  <si>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</si>
  <si>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</si>
  <si>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</si>
  <si>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</si>
  <si>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</si>
  <si>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</si>
  <si>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</si>
  <si>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</si>
  <si>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</si>
  <si>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</si>
  <si>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</si>
  <si>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</si>
  <si>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</si>
  <si>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</si>
  <si>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</si>
  <si>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</si>
  <si>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</si>
  <si>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</si>
  <si>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</si>
  <si>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</si>
  <si>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</si>
  <si>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</si>
  <si>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</si>
  <si>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</si>
  <si>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</si>
  <si>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</si>
  <si>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</si>
  <si>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</si>
  <si>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</si>
  <si>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</si>
  <si>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</si>
  <si>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</si>
  <si>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</si>
  <si>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</si>
  <si>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</si>
  <si>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</si>
  <si>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</si>
  <si>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</si>
  <si>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</si>
  <si>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</si>
  <si>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</si>
  <si>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</si>
  <si>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</si>
  <si>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</si>
  <si>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</si>
  <si>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</si>
  <si>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</si>
  <si>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</si>
  <si>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</si>
  <si>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</si>
  <si>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</si>
  <si>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</si>
  <si>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</si>
  <si>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</si>
  <si>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</si>
  <si>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</si>
  <si>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</si>
  <si>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</si>
  <si>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</si>
  <si>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</si>
  <si>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</si>
  <si>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</si>
  <si>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</si>
  <si>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</si>
  <si>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</si>
  <si>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</si>
  <si>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</si>
  <si>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</si>
  <si>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</si>
  <si>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</si>
  <si>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</si>
  <si>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</si>
  <si>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</si>
  <si>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</si>
  <si>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</si>
  <si>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</si>
  <si>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</si>
  <si>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</si>
  <si>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</si>
  <si>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</si>
  <si>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</si>
  <si>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</si>
  <si>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</si>
  <si>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</si>
  <si>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</si>
  <si>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</si>
  <si>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</si>
  <si>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</si>
  <si>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</si>
  <si>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</si>
  <si>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</si>
  <si>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</si>
  <si>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</si>
  <si>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</si>
  <si>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</si>
  <si>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</si>
  <si>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</si>
  <si>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</si>
  <si>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</si>
  <si>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</si>
  <si>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</si>
  <si>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</si>
  <si>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</si>
  <si>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</si>
  <si>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</si>
  <si>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</si>
  <si>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</si>
  <si>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</si>
  <si>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</si>
  <si>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</si>
  <si>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</si>
  <si>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</si>
  <si>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</si>
  <si>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</si>
  <si>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</si>
  <si>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</si>
  <si>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</si>
  <si>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</si>
  <si>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</si>
  <si>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</si>
  <si>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</si>
  <si>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</si>
  <si>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</si>
  <si>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</si>
  <si>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</si>
  <si>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</si>
  <si>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</si>
  <si>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</si>
  <si>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</si>
  <si>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</si>
  <si>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</si>
  <si>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</si>
  <si>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</si>
  <si>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</si>
  <si>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</si>
  <si>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</si>
  <si>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</si>
  <si>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</si>
  <si>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</si>
  <si>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</si>
  <si>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</si>
  <si>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</si>
  <si>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</si>
  <si>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</si>
  <si>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</si>
  <si>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</si>
  <si>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</si>
  <si>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</si>
  <si>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</si>
  <si>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</si>
  <si>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</si>
  <si>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</si>
  <si>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</si>
  <si>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</si>
  <si>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</si>
  <si>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</si>
  <si>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</si>
  <si>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</si>
  <si>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</si>
  <si>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</si>
  <si>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</si>
  <si>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</si>
  <si>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</si>
  <si>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</si>
  <si>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</si>
  <si>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</si>
  <si>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</si>
  <si>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</si>
  <si>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</si>
  <si>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</si>
  <si>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</si>
  <si>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</si>
  <si>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</si>
  <si>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</si>
  <si>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</si>
  <si>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</si>
  <si>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</si>
  <si>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</si>
  <si>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</si>
  <si>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</si>
  <si>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</si>
  <si>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</si>
  <si>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</si>
  <si>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</si>
  <si>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</si>
  <si>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</si>
  <si>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</si>
  <si>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</si>
  <si>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</si>
  <si>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</si>
  <si>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</si>
  <si>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</si>
  <si>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</si>
  <si>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</si>
  <si>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</si>
  <si>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</si>
  <si>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</si>
  <si>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</si>
  <si>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</si>
  <si>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</si>
  <si>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</si>
  <si>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</si>
  <si>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</si>
  <si>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</si>
  <si>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</si>
  <si>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</si>
  <si>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</si>
  <si>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</si>
  <si>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</si>
  <si>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</si>
  <si>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</si>
  <si>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</si>
  <si>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</si>
  <si>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</si>
  <si>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</si>
  <si>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</si>
  <si>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</si>
  <si>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</si>
  <si>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</si>
  <si>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</si>
  <si>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</si>
  <si>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</si>
  <si>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</si>
  <si>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</si>
  <si>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</si>
  <si>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</si>
  <si>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</si>
  <si>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</si>
  <si>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</si>
  <si>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</si>
  <si>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</si>
  <si>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</si>
  <si>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</si>
  <si>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</si>
  <si>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</si>
  <si>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</si>
  <si>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</si>
  <si>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</si>
  <si>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</si>
  <si>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</si>
  <si>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</si>
  <si>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</si>
  <si>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</si>
  <si>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</si>
  <si>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</si>
  <si>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</si>
  <si>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</si>
  <si>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</si>
  <si>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</si>
  <si>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</si>
  <si>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</si>
  <si>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</si>
  <si>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</si>
  <si>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</si>
  <si>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</si>
  <si>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</si>
  <si>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</si>
  <si>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</si>
  <si>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</si>
  <si>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</si>
  <si>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</si>
  <si>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</si>
  <si>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</si>
  <si>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</si>
  <si>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</si>
  <si>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</si>
  <si>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</si>
  <si>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</si>
  <si>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</si>
  <si>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</si>
  <si>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</si>
  <si>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</si>
  <si>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</si>
  <si>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</si>
  <si>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</si>
  <si>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</si>
  <si>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</si>
  <si>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</si>
  <si>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</si>
  <si>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</si>
  <si>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</si>
  <si>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</si>
  <si>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</si>
  <si>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</si>
  <si>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</si>
  <si>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</si>
  <si>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</si>
  <si>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</si>
  <si>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</si>
  <si>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</si>
  <si>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</si>
  <si>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</si>
  <si>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</si>
  <si>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</si>
  <si>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</si>
  <si>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</si>
  <si>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</si>
  <si>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</si>
  <si>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</si>
  <si>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</si>
  <si>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</si>
  <si>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</si>
  <si>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</si>
  <si>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</si>
  <si>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</si>
  <si>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</si>
  <si>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</si>
  <si>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</si>
  <si>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</si>
  <si>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</si>
  <si>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</si>
  <si>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</si>
  <si>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</si>
  <si>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</si>
  <si>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</si>
  <si>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</si>
  <si>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</si>
  <si>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</si>
  <si>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</si>
  <si>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</si>
  <si>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</si>
  <si>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</si>
  <si>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</si>
  <si>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</si>
  <si>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</si>
  <si>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</si>
  <si>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</si>
  <si>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</si>
  <si>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</si>
  <si>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</si>
  <si>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</si>
  <si>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</si>
  <si>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</si>
  <si>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</si>
  <si>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</si>
  <si>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</si>
  <si>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</si>
  <si>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</si>
  <si>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</si>
  <si>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</si>
  <si>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</si>
  <si>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</si>
  <si>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</si>
  <si>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</si>
  <si>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</si>
  <si>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</si>
  <si>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</si>
  <si>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</si>
  <si>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</si>
  <si>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</si>
  <si>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</si>
  <si>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</si>
  <si>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</si>
  <si>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</si>
  <si>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</si>
  <si>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</si>
  <si>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</si>
  <si>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</si>
  <si>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</si>
  <si>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</si>
  <si>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</si>
  <si>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</si>
  <si>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</si>
  <si>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</si>
  <si>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</si>
  <si>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</si>
  <si>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</si>
  <si>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</si>
  <si>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</si>
  <si>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</si>
  <si>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</si>
  <si>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</si>
  <si>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</si>
  <si>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</si>
  <si>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</si>
  <si>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</si>
  <si>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</si>
  <si>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</si>
  <si>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</si>
  <si>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</si>
  <si>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</si>
  <si>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</si>
  <si>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</si>
  <si>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</si>
  <si>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</si>
  <si>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</si>
  <si>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</si>
  <si>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</si>
  <si>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</si>
  <si>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</si>
  <si>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</si>
  <si>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</si>
  <si>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</si>
  <si>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</si>
  <si>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</si>
  <si>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</si>
  <si>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</si>
  <si>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</si>
  <si>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</si>
  <si>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</si>
  <si>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</si>
  <si>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</si>
  <si>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</si>
  <si>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</si>
  <si>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</si>
  <si>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</si>
  <si>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</si>
  <si>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</si>
  <si>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</si>
  <si>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</si>
  <si>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</si>
  <si>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</si>
  <si>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</si>
  <si>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</si>
  <si>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</si>
  <si>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</si>
  <si>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</si>
  <si>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</si>
  <si>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</si>
  <si>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</si>
  <si>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</si>
  <si>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</si>
  <si>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</si>
  <si>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</si>
  <si>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</si>
  <si>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</si>
  <si>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</si>
  <si>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</si>
  <si>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</si>
  <si>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</si>
  <si>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</si>
  <si>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</si>
  <si>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</si>
  <si>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</si>
  <si>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</si>
  <si>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</si>
  <si>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</si>
  <si>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</si>
  <si>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</si>
  <si>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</si>
  <si>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</si>
  <si>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</si>
  <si>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</si>
  <si>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</si>
  <si>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</si>
  <si>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</si>
  <si>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</si>
  <si>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</si>
  <si>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</si>
  <si>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</si>
  <si>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</si>
  <si>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</si>
  <si>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</si>
  <si>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</si>
  <si>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</si>
  <si>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</si>
  <si>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</si>
  <si>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</si>
  <si>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</si>
  <si>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</si>
  <si>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</si>
  <si>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</si>
  <si>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</si>
  <si>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</si>
  <si>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</si>
  <si>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</si>
  <si>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</si>
  <si>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</si>
  <si>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</si>
  <si>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</si>
  <si>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</si>
  <si>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</si>
  <si>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</si>
  <si>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</si>
  <si>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</si>
  <si>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</si>
  <si>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</si>
  <si>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</si>
  <si>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</si>
  <si>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</si>
  <si>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</si>
  <si>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</si>
  <si>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</si>
  <si>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</si>
  <si>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</si>
  <si>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</si>
  <si>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</si>
  <si>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</si>
  <si>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</si>
  <si>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</si>
  <si>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</si>
  <si>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</si>
  <si>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</si>
  <si>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</si>
  <si>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</si>
  <si>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</si>
  <si>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</si>
  <si>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</si>
  <si>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</si>
  <si>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</si>
  <si>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</si>
  <si>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</si>
  <si>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</si>
  <si>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</si>
  <si>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</si>
  <si>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</si>
  <si>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</si>
  <si>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</si>
  <si>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</si>
  <si>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</si>
  <si>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</si>
  <si>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</si>
  <si>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</si>
  <si>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</si>
  <si>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</si>
  <si>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</si>
  <si>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</si>
  <si>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</si>
  <si>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</si>
  <si>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</si>
  <si>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</si>
  <si>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</si>
  <si>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</si>
  <si>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</si>
  <si>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</si>
  <si>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</si>
  <si>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</si>
  <si>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</si>
  <si>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</si>
  <si>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</si>
  <si>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</si>
  <si>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</si>
  <si>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</si>
  <si>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</si>
  <si>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</si>
  <si>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</si>
  <si>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</si>
  <si>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</si>
  <si>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</si>
  <si>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</si>
  <si>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</si>
  <si>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</si>
  <si>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</si>
  <si>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</si>
  <si>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</si>
  <si>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</si>
  <si>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</si>
  <si>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</si>
  <si>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</si>
  <si>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</si>
  <si>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</si>
  <si>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</si>
  <si>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</si>
  <si>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</si>
  <si>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</si>
  <si>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</si>
  <si>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</si>
  <si>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</si>
  <si>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</si>
  <si>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</si>
  <si>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</si>
  <si>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</si>
  <si>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</si>
  <si>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</si>
  <si>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</si>
  <si>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</si>
  <si>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</si>
  <si>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</si>
  <si>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</si>
  <si>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</si>
  <si>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</si>
  <si>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</si>
  <si>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</si>
  <si>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</si>
  <si>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</si>
  <si>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</si>
  <si>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</si>
  <si>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</si>
  <si>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</si>
  <si>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</si>
  <si>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</si>
  <si>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</si>
  <si>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</si>
  <si>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</si>
  <si>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</si>
  <si>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</si>
  <si>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</si>
  <si>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</si>
  <si>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</si>
  <si>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</si>
  <si>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</si>
  <si>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</si>
  <si>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</si>
  <si>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</si>
  <si>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</si>
  <si>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</si>
  <si>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</si>
  <si>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</si>
  <si>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</si>
  <si>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</si>
  <si>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</si>
  <si>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</si>
  <si>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</si>
  <si>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</si>
  <si>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</si>
  <si>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</si>
  <si>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</si>
  <si>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</si>
  <si>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</si>
  <si>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</si>
  <si>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</si>
  <si>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</si>
  <si>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</si>
  <si>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</si>
  <si>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</si>
  <si>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</si>
  <si>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</si>
  <si>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</si>
  <si>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</si>
  <si>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</si>
  <si>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</si>
  <si>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</si>
  <si>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</si>
  <si>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</si>
  <si>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</si>
  <si>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</si>
  <si>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</si>
  <si>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</si>
  <si>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</si>
  <si>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</si>
  <si>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</si>
  <si>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</si>
  <si>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</si>
  <si>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</si>
  <si>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</si>
  <si>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</si>
  <si>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</si>
  <si>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</si>
  <si>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</si>
  <si>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</si>
  <si>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</si>
  <si>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</si>
  <si>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</si>
  <si>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</si>
  <si>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</si>
  <si>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</si>
  <si>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</si>
  <si>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</si>
  <si>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</si>
  <si>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</si>
  <si>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</si>
  <si>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</si>
  <si>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</si>
  <si>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</si>
  <si>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</si>
  <si>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</si>
  <si>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</si>
  <si>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</si>
  <si>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</si>
  <si>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</si>
  <si>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</si>
  <si>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</si>
  <si>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</si>
  <si>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</si>
  <si>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</si>
  <si>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</si>
  <si>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</si>
  <si>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</si>
  <si>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</si>
  <si>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</si>
  <si>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</si>
  <si>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</si>
  <si>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</si>
  <si>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</si>
  <si>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</si>
  <si>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</si>
  <si>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</si>
  <si>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</si>
  <si>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</si>
  <si>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</si>
  <si>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</si>
  <si>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</si>
  <si>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</si>
  <si>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</si>
  <si>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</si>
  <si>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</si>
  <si>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</si>
  <si>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</si>
  <si>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</si>
  <si>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</si>
  <si>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</si>
  <si>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</si>
  <si>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</si>
  <si>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</si>
  <si>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</si>
  <si>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</si>
  <si>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</si>
  <si>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</si>
  <si>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</si>
  <si>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</si>
  <si>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</si>
  <si>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</si>
  <si>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</si>
  <si>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</si>
  <si>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</si>
  <si>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</si>
  <si>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</si>
  <si>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</si>
  <si>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</si>
  <si>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</si>
  <si>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</si>
  <si>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</si>
  <si>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</si>
  <si>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</si>
  <si>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</si>
  <si>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</si>
  <si>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</si>
  <si>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</si>
  <si>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</si>
  <si>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</si>
  <si>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</si>
  <si>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</si>
  <si>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</si>
  <si>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</si>
  <si>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</si>
  <si>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</si>
  <si>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</si>
  <si>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</si>
  <si>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</si>
  <si>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</si>
  <si>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</si>
  <si>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</si>
  <si>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</si>
  <si>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</si>
  <si>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</si>
  <si>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</si>
  <si>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</si>
  <si>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</si>
  <si>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</si>
  <si>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</si>
  <si>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</si>
  <si>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</si>
  <si>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</si>
  <si>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</si>
  <si>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</si>
  <si>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</si>
  <si>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</si>
  <si>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</si>
  <si>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</si>
  <si>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</si>
  <si>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</si>
  <si>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</si>
  <si>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</si>
  <si>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</si>
  <si>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</si>
  <si>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</si>
  <si>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</si>
  <si>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</si>
  <si>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</si>
  <si>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</si>
  <si>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</si>
  <si>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</si>
  <si>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</si>
  <si>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</si>
  <si>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</si>
  <si>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</si>
  <si>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</si>
  <si>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</si>
  <si>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</si>
  <si>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</si>
  <si>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</si>
  <si>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</si>
  <si>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</si>
  <si>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</si>
  <si>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</si>
  <si>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</si>
  <si>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</si>
  <si>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</si>
  <si>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</si>
  <si>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</si>
  <si>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</si>
  <si>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</si>
  <si>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</si>
  <si>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</si>
  <si>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</si>
  <si>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</si>
  <si>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</si>
  <si>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</si>
  <si>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</si>
  <si>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</si>
  <si>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</si>
  <si>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</si>
  <si>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</si>
  <si>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</si>
  <si>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</si>
  <si>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</si>
  <si>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</si>
  <si>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</si>
  <si>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</si>
  <si>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</si>
  <si>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</si>
  <si>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</si>
  <si>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</si>
  <si>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</si>
  <si>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</si>
  <si>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</si>
  <si>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</si>
  <si>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</si>
  <si>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</si>
  <si>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</si>
  <si>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</si>
  <si>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</si>
  <si>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</si>
  <si>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</si>
  <si>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</si>
  <si>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</si>
  <si>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</si>
  <si>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</si>
  <si>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</si>
  <si>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</si>
  <si>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</si>
  <si>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</si>
  <si>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</si>
  <si>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</si>
  <si>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</si>
  <si>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</si>
  <si>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</si>
  <si>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</si>
  <si>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</si>
  <si>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</si>
  <si>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</si>
  <si>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</si>
  <si>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</si>
  <si>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</si>
  <si>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</si>
  <si>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</si>
  <si>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</si>
  <si>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</si>
  <si>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</si>
  <si>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</si>
  <si>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</si>
  <si>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</si>
  <si>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</si>
  <si>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</si>
  <si>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</si>
  <si>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</si>
  <si>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</si>
  <si>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</si>
  <si>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</si>
  <si>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</si>
  <si>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</si>
  <si>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</si>
  <si>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</si>
  <si>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</si>
  <si>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</si>
  <si>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</si>
  <si>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</si>
  <si>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</si>
  <si>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</si>
  <si>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</si>
  <si>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</si>
  <si>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</si>
  <si>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</si>
  <si>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</si>
  <si>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</si>
  <si>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</si>
  <si>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</si>
  <si>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</si>
  <si>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</si>
  <si>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</si>
  <si>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</si>
  <si>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</si>
  <si>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</si>
  <si>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</si>
  <si>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</si>
  <si>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</si>
  <si>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</si>
  <si>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</si>
  <si>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</si>
  <si>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</si>
  <si>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</si>
  <si>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</si>
  <si>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</si>
  <si>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</si>
  <si>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</si>
  <si>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</si>
  <si>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</si>
  <si>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</si>
  <si>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</si>
  <si>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</si>
  <si>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</si>
  <si>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</si>
  <si>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</si>
  <si>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</si>
  <si>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</si>
  <si>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</si>
  <si>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</si>
  <si>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</si>
  <si>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</si>
  <si>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</si>
  <si>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</si>
  <si>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</si>
  <si>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</si>
  <si>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</si>
  <si>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</si>
  <si>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</si>
  <si>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</si>
  <si>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</si>
  <si>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</si>
  <si>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</si>
  <si>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</si>
  <si>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</si>
  <si>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</si>
  <si>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</si>
  <si>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</si>
  <si>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</si>
  <si>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</si>
  <si>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</si>
  <si>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</si>
  <si>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</si>
  <si>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</si>
  <si>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</si>
  <si>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</si>
  <si>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</si>
  <si>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</si>
  <si>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</si>
  <si>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</si>
  <si>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</si>
  <si>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</si>
  <si>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</si>
  <si>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</si>
  <si>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</si>
  <si>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</si>
  <si>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</si>
  <si>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</si>
  <si>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</si>
  <si>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</si>
  <si>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</si>
  <si>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</si>
  <si>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</si>
  <si>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</si>
  <si>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</si>
  <si>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</si>
  <si>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</si>
  <si>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</si>
  <si>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</si>
  <si>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</si>
  <si>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</si>
  <si>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</si>
  <si>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</si>
  <si>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</si>
  <si>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</si>
  <si>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</si>
  <si>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</si>
  <si>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</si>
  <si>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</si>
  <si>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</si>
  <si>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</si>
  <si>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</si>
  <si>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</si>
  <si>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</si>
  <si>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</si>
  <si>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</si>
  <si>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</si>
  <si>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</si>
  <si>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</si>
  <si>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</si>
  <si>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</si>
  <si>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</si>
  <si>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</si>
  <si>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</si>
  <si>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</si>
  <si>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</si>
  <si>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</si>
  <si>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</si>
  <si>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</si>
  <si>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</si>
  <si>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</si>
  <si>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</si>
  <si>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</si>
  <si>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</si>
  <si>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</si>
  <si>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</si>
  <si>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</si>
  <si>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</si>
  <si>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</si>
  <si>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</si>
  <si>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</si>
  <si>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</si>
  <si>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C65986</t>
  </si>
  <si>
    <t>TRK98353867</t>
  </si>
  <si>
    <t>ORD200327</t>
  </si>
  <si>
    <t>C17302</t>
  </si>
  <si>
    <t>TRK43940016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</si>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</sst>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0.0%"/>
    <numFmt numFmtId="166" formatCode="\$#,##0"/>
    <numFmt numFmtId="167" formatCode="yyyy\-mm"/>
    <numFmt numFmtId="168" formatCode="yyyy\-mm\-dd"/>
  </numFmts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8"/>
      <name val="Arial"/>
      <charset val="1"/>
    </font>
    <font>
      <sz val="10"/>
      <color rgb="FFFFFFFF"/>
      <name val="Arial"/>
      <charset val="1"/>
    </font>
    <font>
      <i/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0" borderId="0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3" fontId="5" fillId="0" borderId="1" xfId="0" applyNumberFormat="1" applyFont="1" applyBorder="1"/>
    <xf numFmtId="4" fontId="5" fillId="0" borderId="1" xfId="0" applyNumberFormat="1" applyFont="1" applyBorder="1"/>
    <xf numFmtId="2" fontId="5" fillId="0" borderId="1" xfId="0" applyNumberFormat="1" applyFont="1" applyBorder="1"/>
    <xf numFmtId="0" fontId="6" fillId="0" borderId="0" xfId="0" applyFont="1" applyBorder="1"/>
    <xf numFmtId="164" fontId="5" fillId="0" borderId="1" xfId="0" applyNumberFormat="1" applyFont="1" applyBorder="1"/>
    <xf numFmtId="164" fontId="7" fillId="0" borderId="1" xfId="0" applyNumberFormat="1" applyFont="1" applyBorder="1"/>
    <xf numFmtId="1" fontId="5" fillId="0" borderId="1" xfId="0" applyNumberFormat="1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1" fontId="4" fillId="3" borderId="1" xfId="0" applyNumberFormat="1" applyFont="1" applyFill="1" applyBorder="1"/>
    <xf numFmtId="0" fontId="5" fillId="0" borderId="1" xfId="0" applyFont="1" applyBorder="1"/>
    <xf numFmtId="0" fontId="6" fillId="0" borderId="0" xfId="0" applyFont="1"/>
    <xf numFmtId="167" fontId="4" fillId="3" borderId="1" xfId="0" applyNumberFormat="1" applyFont="1" applyFill="1" applyBorder="1"/>
    <xf numFmtId="168" fontId="5" fillId="0" borderId="1" xfId="0" applyNumberFormat="1" applyFont="1" applyBorder="1"/>
    <xf numFmtId="0" fontId="8" fillId="0" borderId="0" xfId="0" applyFont="1"/>
    <xf numFmtId="0" fontId="5" fillId="0" borderId="0" xfId="0" applyFont="1"/>
    <xf numFmtId="168" fontId="5" fillId="0" borderId="0" xfId="0" applyNumberFormat="1" applyFont="1"/>
    <xf numFmtId="164" fontId="5" fillId="0" borderId="0" xfId="0" applyNumberFormat="1" applyFont="1"/>
    <xf numFmtId="167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Revenue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Trends!C15</c:f>
              <c:strCache>
                <c:ptCount val="1"/>
                <c:pt idx="0">
                  <c:v>Revenue ($)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Trends!$A$16:$A$45</c:f>
              <c:numCache>
                <c:formatCode>yyyy\-mm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cat>
          <c:val>
            <c:numRef>
              <c:f>Trends!$C$16:$C$45</c:f>
              <c:numCache>
                <c:formatCode>\$#,##0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80-5947-9FAD-FDFCF7D06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0848125"/>
        <c:axId val="80610356"/>
      </c:lineChart>
      <c:dateAx>
        <c:axId val="20848125"/>
        <c:scaling>
          <c:orientation val="minMax"/>
        </c:scaling>
        <c:delete val="0"/>
        <c:axPos val="b"/>
        <c:numFmt formatCode="yyyy\-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610356"/>
        <c:crosses val="autoZero"/>
        <c:auto val="1"/>
        <c:lblOffset val="100"/>
        <c:baseTimeUnit val="months"/>
      </c:dateAx>
      <c:valAx>
        <c:axId val="806103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8481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H1 Revenue by Year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Trends!C4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Trends!$A$5:$A$7</c:f>
              <c:numCache>
                <c:formatCode>0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Trends!$C$5:$C$7</c:f>
              <c:numCache>
                <c:formatCode>\$#,##0</c:formatCode>
                <c:ptCount val="3"/>
                <c:pt idx="0">
                  <c:v>286501.52000000025</c:v>
                </c:pt>
                <c:pt idx="1">
                  <c:v>257059.33999999994</c:v>
                </c:pt>
                <c:pt idx="2">
                  <c:v>231882.85000000006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5-1D4C-A0C6-B74AA7356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08887"/>
        <c:axId val="72545144"/>
      </c:barChart>
      <c:catAx>
        <c:axId val="1430888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545144"/>
        <c:crosses val="autoZero"/>
        <c:auto val="1"/>
        <c:lblAlgn val="ctr"/>
        <c:lblOffset val="100"/>
        <c:noMultiLvlLbl val="0"/>
      </c:catAx>
      <c:valAx>
        <c:axId val="725451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3088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by Product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Segments!C4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Segments!$A$5:$A$11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Segments!$C$5:$C$11</c:f>
              <c:numCache>
                <c:formatCode>\$#,##0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C-9946-92AD-F1512E17F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843754"/>
        <c:axId val="53747447"/>
      </c:barChart>
      <c:catAx>
        <c:axId val="9084375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747447"/>
        <c:crosses val="autoZero"/>
        <c:auto val="1"/>
        <c:lblAlgn val="ctr"/>
        <c:lblOffset val="100"/>
        <c:noMultiLvlLbl val="0"/>
      </c:catAx>
      <c:valAx>
        <c:axId val="5374744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8437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by Order Status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Segments!C13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Segments!$A$14:$A$18</c:f>
              <c:strCache>
                <c:ptCount val="5"/>
                <c:pt idx="0">
                  <c:v>Delivered</c:v>
                </c:pt>
                <c:pt idx="1">
                  <c:v>Shipped</c:v>
                </c:pt>
                <c:pt idx="2">
                  <c:v>Pending</c:v>
                </c:pt>
                <c:pt idx="3">
                  <c:v>Returned</c:v>
                </c:pt>
                <c:pt idx="4">
                  <c:v>Cancelled</c:v>
                </c:pt>
              </c:strCache>
            </c:strRef>
          </c:cat>
          <c:val>
            <c:numRef>
              <c:f>Segments!$C$14:$C$18</c:f>
              <c:numCache>
                <c:formatCode>\$#,##0</c:formatCode>
                <c:ptCount val="5"/>
                <c:pt idx="0">
                  <c:v>242600.31999999998</c:v>
                </c:pt>
                <c:pt idx="1">
                  <c:v>246159.57999999987</c:v>
                </c:pt>
                <c:pt idx="2">
                  <c:v>256328.15000000002</c:v>
                </c:pt>
                <c:pt idx="3">
                  <c:v>243277.70000000013</c:v>
                </c:pt>
                <c:pt idx="4">
                  <c:v>276396.20999999996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16-5444-8C0D-05F949E44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791620"/>
        <c:axId val="19695774"/>
      </c:barChart>
      <c:catAx>
        <c:axId val="687916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695774"/>
        <c:crosses val="autoZero"/>
        <c:auto val="1"/>
        <c:lblAlgn val="ctr"/>
        <c:lblOffset val="100"/>
        <c:noMultiLvlLbl val="0"/>
      </c:catAx>
      <c:valAx>
        <c:axId val="196957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7916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 /><Relationship Id="rId1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160920</xdr:rowOff>
    </xdr:from>
    <xdr:to>
      <xdr:col>18</xdr:col>
      <xdr:colOff>364320</xdr:colOff>
      <xdr:row>17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19</xdr:row>
      <xdr:rowOff>160560</xdr:rowOff>
    </xdr:from>
    <xdr:to>
      <xdr:col>15</xdr:col>
      <xdr:colOff>38880</xdr:colOff>
      <xdr:row>34</xdr:row>
      <xdr:rowOff>182520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160920</xdr:rowOff>
    </xdr:from>
    <xdr:to>
      <xdr:col>13</xdr:col>
      <xdr:colOff>398880</xdr:colOff>
      <xdr:row>17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160560</xdr:rowOff>
    </xdr:from>
    <xdr:to>
      <xdr:col>13</xdr:col>
      <xdr:colOff>398880</xdr:colOff>
      <xdr:row>34</xdr:row>
      <xdr:rowOff>182520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showGridLines="0" tabSelected="1" zoomScaleNormal="100" workbookViewId="0"/>
  </sheetViews>
  <sheetFormatPr defaultColWidth="8.7421875" defaultRowHeight="15" x14ac:dyDescent="0.2"/>
  <cols>
    <col min="1" max="1" width="39.953125" customWidth="1"/>
    <col min="2" max="5" width="16.0078125" customWidth="1"/>
  </cols>
  <sheetData>
    <row r="1" spans="1:5" ht="18" x14ac:dyDescent="0.2">
      <c r="A1" s="3" t="s">
        <v>0</v>
      </c>
    </row>
    <row r="2" spans="1:5" x14ac:dyDescent="0.2">
      <c r="A2" s="4" t="s">
        <v>1</v>
      </c>
    </row>
    <row r="4" spans="1:5" x14ac:dyDescent="0.2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spans="1:5" x14ac:dyDescent="0.2">
      <c r="A5" s="6" t="s">
        <v>7</v>
      </c>
      <c r="B5" s="7">
        <f>COUNT(Data!$N$2:$N$1201)</f>
        <v>1200</v>
      </c>
      <c r="C5" s="7">
        <f>COUNT(Data!$F$2:$F$1201)</f>
        <v>1200</v>
      </c>
      <c r="D5" s="7">
        <f>COUNT(Data!$E$2:$E$1201)</f>
        <v>1200</v>
      </c>
      <c r="E5" s="7">
        <f>COUNT(Data!$K$2:$K$1201)</f>
        <v>1200</v>
      </c>
    </row>
    <row r="6" spans="1:5" x14ac:dyDescent="0.2">
      <c r="A6" s="6" t="s">
        <v>8</v>
      </c>
      <c r="B6" s="8">
        <f>AVERAGE(Data!$N$2:$N$1201)</f>
        <v>1053.9683000000005</v>
      </c>
      <c r="C6" s="8">
        <f>AVERAGE(Data!$F$2:$F$1201)</f>
        <v>356.41275000000007</v>
      </c>
      <c r="D6" s="8">
        <f>AVERAGE(Data!$E$2:$E$1201)</f>
        <v>2.9458333333333333</v>
      </c>
      <c r="E6" s="8">
        <f>AVERAGE(Data!$K$2:$K$1201)</f>
        <v>5.4850000000000003</v>
      </c>
    </row>
    <row r="7" spans="1:5" x14ac:dyDescent="0.2">
      <c r="A7" s="6" t="s">
        <v>9</v>
      </c>
      <c r="B7" s="8">
        <f>MEDIAN(Data!$N$2:$N$1201)</f>
        <v>823.61500000000001</v>
      </c>
      <c r="C7" s="8">
        <f>MEDIAN(Data!$F$2:$F$1201)</f>
        <v>364.21</v>
      </c>
      <c r="D7" s="8">
        <f>MEDIAN(Data!$E$2:$E$1201)</f>
        <v>3</v>
      </c>
      <c r="E7" s="8">
        <f>MEDIAN(Data!$K$2:$K$1201)</f>
        <v>5</v>
      </c>
    </row>
    <row r="8" spans="1:5" x14ac:dyDescent="0.2">
      <c r="A8" s="6" t="s">
        <v>10</v>
      </c>
      <c r="B8" s="8">
        <f>STDEV(Data!$N$2:$N$1201)</f>
        <v>819.85655836464559</v>
      </c>
      <c r="C8" s="8">
        <f>STDEV(Data!$F$2:$F$1201)</f>
        <v>197.17714641491236</v>
      </c>
      <c r="D8" s="8">
        <f>STDEV(Data!$E$2:$E$1201)</f>
        <v>1.4075570987983175</v>
      </c>
      <c r="E8" s="8">
        <f>STDEV(Data!$K$2:$K$1201)</f>
        <v>2.2819833201028645</v>
      </c>
    </row>
    <row r="9" spans="1:5" x14ac:dyDescent="0.2">
      <c r="A9" s="6" t="s">
        <v>11</v>
      </c>
      <c r="B9" s="8">
        <f>MIN(Data!$N$2:$N$1201)</f>
        <v>11.39</v>
      </c>
      <c r="C9" s="8">
        <f>MIN(Data!$F$2:$F$1201)</f>
        <v>11.39</v>
      </c>
      <c r="D9" s="8">
        <f>MIN(Data!$E$2:$E$1201)</f>
        <v>1</v>
      </c>
      <c r="E9" s="8">
        <f>MIN(Data!$K$2:$K$1201)</f>
        <v>1</v>
      </c>
    </row>
    <row r="10" spans="1:5" x14ac:dyDescent="0.2">
      <c r="A10" s="6" t="s">
        <v>12</v>
      </c>
      <c r="B10" s="8">
        <f>MAX(Data!$N$2:$N$1201)</f>
        <v>3456.4</v>
      </c>
      <c r="C10" s="8">
        <f>MAX(Data!$F$2:$F$1201)</f>
        <v>699.93</v>
      </c>
      <c r="D10" s="8">
        <f>MAX(Data!$E$2:$E$1201)</f>
        <v>5</v>
      </c>
      <c r="E10" s="8">
        <f>MAX(Data!$K$2:$K$1201)</f>
        <v>10</v>
      </c>
    </row>
    <row r="11" spans="1:5" x14ac:dyDescent="0.2">
      <c r="A11" s="6" t="s">
        <v>13</v>
      </c>
      <c r="B11" s="9">
        <f>SKEW(Data!$N$2:$N$1201)</f>
        <v>0.89135908268090325</v>
      </c>
      <c r="C11" s="9">
        <f>SKEW(Data!$F$2:$F$1201)</f>
        <v>-2.6511641121851885E-2</v>
      </c>
      <c r="D11" s="9">
        <f>SKEW(Data!$E$2:$E$1201)</f>
        <v>2.792231401661471E-2</v>
      </c>
      <c r="E11" s="9">
        <f>SKEW(Data!$K$2:$K$1201)</f>
        <v>8.767998521410675E-4</v>
      </c>
    </row>
    <row r="12" spans="1:5" x14ac:dyDescent="0.2">
      <c r="A12" s="10" t="s">
        <v>14</v>
      </c>
    </row>
    <row r="13" spans="1:5" x14ac:dyDescent="0.2">
      <c r="A13" s="5" t="s">
        <v>15</v>
      </c>
      <c r="B13" s="5" t="s">
        <v>16</v>
      </c>
    </row>
    <row r="14" spans="1:5" x14ac:dyDescent="0.2">
      <c r="A14" s="6" t="s">
        <v>17</v>
      </c>
      <c r="B14" s="11">
        <f>QUARTILE(Data!$N$2:$N$1201,1)</f>
        <v>410.52</v>
      </c>
    </row>
    <row r="15" spans="1:5" x14ac:dyDescent="0.2">
      <c r="A15" s="6" t="s">
        <v>18</v>
      </c>
      <c r="B15" s="11">
        <f>QUARTILE(Data!$N$2:$N$1201,3)</f>
        <v>1578.4749999999999</v>
      </c>
    </row>
    <row r="16" spans="1:5" x14ac:dyDescent="0.2">
      <c r="A16" s="6" t="s">
        <v>19</v>
      </c>
      <c r="B16" s="11">
        <f>B15-B14</f>
        <v>1167.9549999999999</v>
      </c>
    </row>
    <row r="17" spans="1:3" x14ac:dyDescent="0.2">
      <c r="A17" s="6" t="s">
        <v>20</v>
      </c>
      <c r="B17" s="11">
        <f>B15+1.5*B16</f>
        <v>3330.4074999999998</v>
      </c>
      <c r="C17" s="12">
        <f>B17</f>
        <v>3330.4074999999998</v>
      </c>
    </row>
    <row r="18" spans="1:3" x14ac:dyDescent="0.2">
      <c r="A18" s="6" t="s">
        <v>21</v>
      </c>
      <c r="B18" s="11">
        <f>B14-1.5*B16</f>
        <v>-1341.4124999999999</v>
      </c>
    </row>
    <row r="19" spans="1:3" x14ac:dyDescent="0.2">
      <c r="A19" s="6" t="s">
        <v>22</v>
      </c>
      <c r="B19" s="13">
        <f>COUNTIF(Data!$N$2:$N$1201,"&gt;"&amp;B17)</f>
        <v>8</v>
      </c>
    </row>
    <row r="20" spans="1:3" x14ac:dyDescent="0.2">
      <c r="A20" s="6" t="s">
        <v>23</v>
      </c>
      <c r="B20" s="14">
        <f>B19/B5</f>
        <v>6.6666666666666671E-3</v>
      </c>
    </row>
    <row r="22" spans="1:3" x14ac:dyDescent="0.2">
      <c r="A22" s="5" t="s">
        <v>24</v>
      </c>
      <c r="B22" s="5" t="s">
        <v>16</v>
      </c>
    </row>
    <row r="23" spans="1:3" x14ac:dyDescent="0.2">
      <c r="A23" s="6" t="s">
        <v>25</v>
      </c>
      <c r="B23" s="15">
        <f>SUM(Data!$N$2:$N$1201)</f>
        <v>1264761.9600000004</v>
      </c>
    </row>
    <row r="24" spans="1:3" x14ac:dyDescent="0.2">
      <c r="A24" s="6" t="s">
        <v>26</v>
      </c>
      <c r="B24" s="15">
        <f>SUMIFS(Data!$N$2:$N$1201,Data!$I$2:$I$1201,"Cancelled")+SUMIFS(Data!$N$2:$N$1201,Data!$I$2:$I$1201,"Returned")</f>
        <v>519673.91000000009</v>
      </c>
    </row>
    <row r="25" spans="1:3" x14ac:dyDescent="0.2">
      <c r="A25" s="6" t="s">
        <v>27</v>
      </c>
      <c r="B25" s="15">
        <f>B23-B24</f>
        <v>745088.05000000028</v>
      </c>
    </row>
    <row r="26" spans="1:3" x14ac:dyDescent="0.2">
      <c r="A26" s="6" t="s">
        <v>28</v>
      </c>
      <c r="B26" s="14">
        <f>B25/B23</f>
        <v>0.58911326681583631</v>
      </c>
    </row>
    <row r="27" spans="1:3" x14ac:dyDescent="0.2">
      <c r="A27" s="6" t="s">
        <v>29</v>
      </c>
      <c r="B27" s="7">
        <f>COUNTIF(Data!$I$2:$I$1201,"Cancelled")+COUNTIF(Data!$I$2:$I$1201,"Returned")</f>
        <v>497</v>
      </c>
    </row>
    <row r="28" spans="1:3" x14ac:dyDescent="0.2">
      <c r="A28" s="6" t="s">
        <v>30</v>
      </c>
      <c r="B28" s="14">
        <f>B27/B5</f>
        <v>0.41416666666666668</v>
      </c>
    </row>
    <row r="29" spans="1:3" x14ac:dyDescent="0.2">
      <c r="A29" s="6" t="s">
        <v>31</v>
      </c>
      <c r="B29" s="7">
        <f>SUMPRODUCT(1/COUNTIF(Data!$C$2:$C$1201,Data!$C$2:$C$1201))</f>
        <v>1189</v>
      </c>
    </row>
    <row r="30" spans="1:3" x14ac:dyDescent="0.2">
      <c r="A30" s="6" t="s">
        <v>32</v>
      </c>
      <c r="B30" s="7">
        <f>COUNTIF(Data!$R$2:$R$1201,"None")</f>
        <v>309</v>
      </c>
    </row>
    <row r="31" spans="1:3" x14ac:dyDescent="0.2">
      <c r="A31" s="6" t="s">
        <v>33</v>
      </c>
      <c r="B31" s="14">
        <f>SUMIF(Data!$N$2:$N$1201,"&gt;="&amp;PERCENTILE(Data!$N$2:$N$1201,0.9))/B23</f>
        <v>0.26264755780605548</v>
      </c>
    </row>
    <row r="33" spans="1:5" ht="15" customHeight="1" x14ac:dyDescent="0.2">
      <c r="A33" s="2" t="s">
        <v>34</v>
      </c>
      <c r="B33" s="2"/>
      <c r="C33" s="2"/>
      <c r="D33" s="2"/>
      <c r="E33" s="2"/>
    </row>
    <row r="34" spans="1:5" ht="42" customHeight="1" x14ac:dyDescent="0.2">
      <c r="A34" s="1" t="s">
        <v>35</v>
      </c>
      <c r="B34" s="1"/>
      <c r="C34" s="1"/>
      <c r="D34" s="1"/>
      <c r="E34" s="1"/>
    </row>
    <row r="35" spans="1:5" ht="42" customHeight="1" x14ac:dyDescent="0.2">
      <c r="A35" s="1" t="s">
        <v>36</v>
      </c>
      <c r="B35" s="1"/>
      <c r="C35" s="1"/>
      <c r="D35" s="1"/>
      <c r="E35" s="1"/>
    </row>
    <row r="36" spans="1:5" ht="42" customHeight="1" x14ac:dyDescent="0.2">
      <c r="A36" s="1" t="s">
        <v>37</v>
      </c>
      <c r="B36" s="1"/>
      <c r="C36" s="1"/>
      <c r="D36" s="1"/>
      <c r="E36" s="1"/>
    </row>
    <row r="37" spans="1:5" ht="42" customHeight="1" x14ac:dyDescent="0.2">
      <c r="A37" s="1" t="s">
        <v>38</v>
      </c>
      <c r="B37" s="1"/>
      <c r="C37" s="1"/>
      <c r="D37" s="1"/>
      <c r="E37" s="1"/>
    </row>
    <row r="38" spans="1:5" ht="42" customHeight="1" x14ac:dyDescent="0.2">
      <c r="A38" s="1" t="s">
        <v>39</v>
      </c>
      <c r="B38" s="1"/>
      <c r="C38" s="1"/>
      <c r="D38" s="1"/>
      <c r="E38" s="1"/>
    </row>
    <row r="39" spans="1:5" ht="42" customHeight="1" x14ac:dyDescent="0.2">
      <c r="A39" s="1" t="s">
        <v>40</v>
      </c>
      <c r="B39" s="1"/>
      <c r="C39" s="1"/>
      <c r="D39" s="1"/>
      <c r="E39" s="1"/>
    </row>
  </sheetData>
  <mergeCells count="7">
    <mergeCell ref="A38:E38"/>
    <mergeCell ref="A39:E39"/>
    <mergeCell ref="A33:E33"/>
    <mergeCell ref="A34:E34"/>
    <mergeCell ref="A35:E35"/>
    <mergeCell ref="A36:E36"/>
    <mergeCell ref="A37:E3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zoomScaleNormal="100" workbookViewId="0"/>
  </sheetViews>
  <sheetFormatPr defaultColWidth="8.7421875" defaultRowHeight="15" x14ac:dyDescent="0.2"/>
  <cols>
    <col min="1" max="1" width="25.9609375" customWidth="1"/>
    <col min="2" max="2" width="11.97265625" customWidth="1"/>
    <col min="3" max="3" width="16.0078125" customWidth="1"/>
    <col min="4" max="4" width="20.04296875" customWidth="1"/>
    <col min="5" max="6" width="13.046875" customWidth="1"/>
    <col min="7" max="7" width="11.97265625" customWidth="1"/>
  </cols>
  <sheetData>
    <row r="1" spans="1:7" ht="18" x14ac:dyDescent="0.2">
      <c r="A1" s="3" t="s">
        <v>41</v>
      </c>
    </row>
    <row r="2" spans="1:7" x14ac:dyDescent="0.2">
      <c r="A2" s="4" t="s">
        <v>42</v>
      </c>
    </row>
    <row r="4" spans="1:7" x14ac:dyDescent="0.2">
      <c r="A4" s="5" t="s">
        <v>43</v>
      </c>
      <c r="B4" s="5" t="s">
        <v>44</v>
      </c>
      <c r="C4" s="5" t="s">
        <v>45</v>
      </c>
      <c r="D4" s="5" t="s">
        <v>46</v>
      </c>
      <c r="E4" s="5" t="s">
        <v>47</v>
      </c>
      <c r="F4" s="5" t="s">
        <v>48</v>
      </c>
      <c r="G4" s="5" t="s">
        <v>49</v>
      </c>
    </row>
    <row r="5" spans="1:7" x14ac:dyDescent="0.2">
      <c r="A5" s="16">
        <v>2023</v>
      </c>
      <c r="B5" s="7">
        <f>COUNTIFS(Data!$B$2:$B$1201,"&gt;="&amp;DATE(A5,1,1),Data!$B$2:$B$1201,"&lt;="&amp;DATE(A5,6,30))</f>
        <v>252</v>
      </c>
      <c r="C5" s="15">
        <f>SUMIFS(Data!$N$2:$N$1201,Data!$B$2:$B$1201,"&gt;="&amp;DATE(A5,1,1),Data!$B$2:$B$1201,"&lt;="&amp;DATE(A5,6,30))</f>
        <v>286501.52000000025</v>
      </c>
      <c r="D5" s="15">
        <f>C5/B5</f>
        <v>1136.9107936507946</v>
      </c>
      <c r="E5" s="17" t="s">
        <v>50</v>
      </c>
      <c r="F5" s="17" t="s">
        <v>50</v>
      </c>
      <c r="G5" s="17" t="s">
        <v>50</v>
      </c>
    </row>
    <row r="6" spans="1:7" x14ac:dyDescent="0.2">
      <c r="A6" s="16">
        <v>2024</v>
      </c>
      <c r="B6" s="7">
        <f>COUNTIFS(Data!$B$2:$B$1201,"&gt;="&amp;DATE(A6,1,1),Data!$B$2:$B$1201,"&lt;="&amp;DATE(A6,6,30))</f>
        <v>237</v>
      </c>
      <c r="C6" s="15">
        <f>SUMIFS(Data!$N$2:$N$1201,Data!$B$2:$B$1201,"&gt;="&amp;DATE(A6,1,1),Data!$B$2:$B$1201,"&lt;="&amp;DATE(A6,6,30))</f>
        <v>257059.33999999994</v>
      </c>
      <c r="D6" s="15">
        <f>C6/B6</f>
        <v>1084.6385654008436</v>
      </c>
      <c r="E6" s="14">
        <f>B6/B5-1</f>
        <v>-5.9523809523809534E-2</v>
      </c>
      <c r="F6" s="14">
        <f>C6/C5-1</f>
        <v>-0.10276448097029389</v>
      </c>
      <c r="G6" s="14">
        <f>D6/D5-1</f>
        <v>-4.597742280385686E-2</v>
      </c>
    </row>
    <row r="7" spans="1:7" x14ac:dyDescent="0.2">
      <c r="A7" s="16">
        <v>2025</v>
      </c>
      <c r="B7" s="7">
        <f>COUNTIFS(Data!$B$2:$B$1201,"&gt;="&amp;DATE(A7,1,1),Data!$B$2:$B$1201,"&lt;="&amp;DATE(A7,6,30))</f>
        <v>231</v>
      </c>
      <c r="C7" s="15">
        <f>SUMIFS(Data!$N$2:$N$1201,Data!$B$2:$B$1201,"&gt;="&amp;DATE(A7,1,1),Data!$B$2:$B$1201,"&lt;="&amp;DATE(A7,6,30))</f>
        <v>231882.85000000006</v>
      </c>
      <c r="D7" s="15">
        <f>C7/B7</f>
        <v>1003.8218614718618</v>
      </c>
      <c r="E7" s="14">
        <f>B7/B6-1</f>
        <v>-2.5316455696202556E-2</v>
      </c>
      <c r="F7" s="14">
        <f>C7/C6-1</f>
        <v>-9.794038217012413E-2</v>
      </c>
      <c r="G7" s="14">
        <f>D7/D6-1</f>
        <v>-7.4510262226490931E-2</v>
      </c>
    </row>
    <row r="10" spans="1:7" x14ac:dyDescent="0.2">
      <c r="A10" s="5" t="s">
        <v>51</v>
      </c>
      <c r="B10" s="5" t="s">
        <v>44</v>
      </c>
      <c r="C10" s="5" t="s">
        <v>52</v>
      </c>
    </row>
    <row r="11" spans="1:7" x14ac:dyDescent="0.2">
      <c r="A11" s="6" t="s">
        <v>53</v>
      </c>
      <c r="B11" s="7">
        <f>COUNTIFS(Data!$B$2:$B$1201,"&gt;="&amp;DATE(2023,1,1),Data!$B$2:$B$1201,"&lt;="&amp;DATE(2023,6,30))+B6+B7</f>
        <v>720</v>
      </c>
      <c r="C11" s="7">
        <f>B11/3</f>
        <v>240</v>
      </c>
    </row>
    <row r="12" spans="1:7" x14ac:dyDescent="0.2">
      <c r="A12" s="6" t="s">
        <v>54</v>
      </c>
      <c r="B12" s="7">
        <f>COUNT(Data!$B$2:$B$1201)-B11</f>
        <v>480</v>
      </c>
      <c r="C12" s="7">
        <f>B12/2</f>
        <v>240</v>
      </c>
    </row>
    <row r="13" spans="1:7" x14ac:dyDescent="0.2">
      <c r="A13" s="18" t="s">
        <v>55</v>
      </c>
    </row>
    <row r="15" spans="1:7" x14ac:dyDescent="0.2">
      <c r="A15" s="5" t="s">
        <v>56</v>
      </c>
      <c r="B15" s="5" t="s">
        <v>44</v>
      </c>
      <c r="C15" s="5" t="s">
        <v>45</v>
      </c>
      <c r="D15" s="5" t="s">
        <v>46</v>
      </c>
    </row>
    <row r="16" spans="1:7" x14ac:dyDescent="0.2">
      <c r="A16" s="19">
        <v>44927</v>
      </c>
      <c r="B16" s="7">
        <f>COUNTIFS(Data!$P$2:$P$1201,A16)</f>
        <v>47</v>
      </c>
      <c r="C16" s="15">
        <f>SUMIFS(Data!$N$2:$N$1201,Data!$P$2:$P$1201,A16)</f>
        <v>56685.749999999985</v>
      </c>
      <c r="D16" s="15">
        <f>IF(B16=0,0,C16/B16)</f>
        <v>1206.0797872340422</v>
      </c>
    </row>
    <row r="17" spans="1:4" x14ac:dyDescent="0.2">
      <c r="A17" s="19">
        <v>44958</v>
      </c>
      <c r="B17" s="7">
        <f>COUNTIFS(Data!$P$2:$P$1201,A17)</f>
        <v>37</v>
      </c>
      <c r="C17" s="15">
        <f>SUMIFS(Data!$N$2:$N$1201,Data!$P$2:$P$1201,A17)</f>
        <v>40117.659999999996</v>
      </c>
      <c r="D17" s="15">
        <f>IF(B17=0,0,C17/B17)</f>
        <v>1084.2610810810809</v>
      </c>
    </row>
    <row r="18" spans="1:4" x14ac:dyDescent="0.2">
      <c r="A18" s="19">
        <v>44986</v>
      </c>
      <c r="B18" s="7">
        <f>COUNTIFS(Data!$P$2:$P$1201,A18)</f>
        <v>43</v>
      </c>
      <c r="C18" s="15">
        <f>SUMIFS(Data!$N$2:$N$1201,Data!$P$2:$P$1201,A18)</f>
        <v>48609.37000000001</v>
      </c>
      <c r="D18" s="15">
        <f>IF(B18=0,0,C18/B18)</f>
        <v>1130.4504651162792</v>
      </c>
    </row>
    <row r="19" spans="1:4" x14ac:dyDescent="0.2">
      <c r="A19" s="19">
        <v>45017</v>
      </c>
      <c r="B19" s="7">
        <f>COUNTIFS(Data!$P$2:$P$1201,A19)</f>
        <v>31</v>
      </c>
      <c r="C19" s="15">
        <f>SUMIFS(Data!$N$2:$N$1201,Data!$P$2:$P$1201,A19)</f>
        <v>27751.710000000006</v>
      </c>
      <c r="D19" s="15">
        <f>IF(B19=0,0,C19/B19)</f>
        <v>895.21645161290348</v>
      </c>
    </row>
    <row r="20" spans="1:4" x14ac:dyDescent="0.2">
      <c r="A20" s="19">
        <v>45047</v>
      </c>
      <c r="B20" s="7">
        <f>COUNTIFS(Data!$P$2:$P$1201,A20)</f>
        <v>49</v>
      </c>
      <c r="C20" s="15">
        <f>SUMIFS(Data!$N$2:$N$1201,Data!$P$2:$P$1201,A20)</f>
        <v>63836.840000000026</v>
      </c>
      <c r="D20" s="15">
        <f>IF(B20=0,0,C20/B20)</f>
        <v>1302.7926530612251</v>
      </c>
    </row>
    <row r="21" spans="1:4" x14ac:dyDescent="0.2">
      <c r="A21" s="19">
        <v>45078</v>
      </c>
      <c r="B21" s="7">
        <f>COUNTIFS(Data!$P$2:$P$1201,A21)</f>
        <v>45</v>
      </c>
      <c r="C21" s="15">
        <f>SUMIFS(Data!$N$2:$N$1201,Data!$P$2:$P$1201,A21)</f>
        <v>49500.19</v>
      </c>
      <c r="D21" s="15">
        <f>IF(B21=0,0,C21/B21)</f>
        <v>1100.0042222222223</v>
      </c>
    </row>
    <row r="22" spans="1:4" x14ac:dyDescent="0.2">
      <c r="A22" s="19">
        <v>45108</v>
      </c>
      <c r="B22" s="7">
        <f>COUNTIFS(Data!$P$2:$P$1201,A22)</f>
        <v>44</v>
      </c>
      <c r="C22" s="15">
        <f>SUMIFS(Data!$N$2:$N$1201,Data!$P$2:$P$1201,A22)</f>
        <v>42820.66</v>
      </c>
      <c r="D22" s="15">
        <f>IF(B22=0,0,C22/B22)</f>
        <v>973.19681818181823</v>
      </c>
    </row>
    <row r="23" spans="1:4" x14ac:dyDescent="0.2">
      <c r="A23" s="19">
        <v>45139</v>
      </c>
      <c r="B23" s="7">
        <f>COUNTIFS(Data!$P$2:$P$1201,A23)</f>
        <v>51</v>
      </c>
      <c r="C23" s="15">
        <f>SUMIFS(Data!$N$2:$N$1201,Data!$P$2:$P$1201,A23)</f>
        <v>54352.14</v>
      </c>
      <c r="D23" s="15">
        <f>IF(B23=0,0,C23/B23)</f>
        <v>1065.7282352941177</v>
      </c>
    </row>
    <row r="24" spans="1:4" x14ac:dyDescent="0.2">
      <c r="A24" s="19">
        <v>45170</v>
      </c>
      <c r="B24" s="7">
        <f>COUNTIFS(Data!$P$2:$P$1201,A24)</f>
        <v>29</v>
      </c>
      <c r="C24" s="15">
        <f>SUMIFS(Data!$N$2:$N$1201,Data!$P$2:$P$1201,A24)</f>
        <v>29526.67</v>
      </c>
      <c r="D24" s="15">
        <f>IF(B24=0,0,C24/B24)</f>
        <v>1018.1610344827585</v>
      </c>
    </row>
    <row r="25" spans="1:4" x14ac:dyDescent="0.2">
      <c r="A25" s="19">
        <v>45200</v>
      </c>
      <c r="B25" s="7">
        <f>COUNTIFS(Data!$P$2:$P$1201,A25)</f>
        <v>47</v>
      </c>
      <c r="C25" s="15">
        <f>SUMIFS(Data!$N$2:$N$1201,Data!$P$2:$P$1201,A25)</f>
        <v>52607.85</v>
      </c>
      <c r="D25" s="15">
        <f>IF(B25=0,0,C25/B25)</f>
        <v>1119.3159574468084</v>
      </c>
    </row>
    <row r="26" spans="1:4" x14ac:dyDescent="0.2">
      <c r="A26" s="19">
        <v>45231</v>
      </c>
      <c r="B26" s="7">
        <f>COUNTIFS(Data!$P$2:$P$1201,A26)</f>
        <v>41</v>
      </c>
      <c r="C26" s="15">
        <f>SUMIFS(Data!$N$2:$N$1201,Data!$P$2:$P$1201,A26)</f>
        <v>43079.67</v>
      </c>
      <c r="D26" s="15">
        <f>IF(B26=0,0,C26/B26)</f>
        <v>1050.7236585365854</v>
      </c>
    </row>
    <row r="27" spans="1:4" x14ac:dyDescent="0.2">
      <c r="A27" s="19">
        <v>45261</v>
      </c>
      <c r="B27" s="7">
        <f>COUNTIFS(Data!$P$2:$P$1201,A27)</f>
        <v>46</v>
      </c>
      <c r="C27" s="15">
        <f>SUMIFS(Data!$N$2:$N$1201,Data!$P$2:$P$1201,A27)</f>
        <v>43754.729999999981</v>
      </c>
      <c r="D27" s="15">
        <f>IF(B27=0,0,C27/B27)</f>
        <v>951.18978260869528</v>
      </c>
    </row>
    <row r="28" spans="1:4" x14ac:dyDescent="0.2">
      <c r="A28" s="19">
        <v>45292</v>
      </c>
      <c r="B28" s="7">
        <f>COUNTIFS(Data!$P$2:$P$1201,A28)</f>
        <v>32</v>
      </c>
      <c r="C28" s="15">
        <f>SUMIFS(Data!$N$2:$N$1201,Data!$P$2:$P$1201,A28)</f>
        <v>38528.079999999994</v>
      </c>
      <c r="D28" s="15">
        <f>IF(B28=0,0,C28/B28)</f>
        <v>1204.0024999999998</v>
      </c>
    </row>
    <row r="29" spans="1:4" x14ac:dyDescent="0.2">
      <c r="A29" s="19">
        <v>45323</v>
      </c>
      <c r="B29" s="7">
        <f>COUNTIFS(Data!$P$2:$P$1201,A29)</f>
        <v>32</v>
      </c>
      <c r="C29" s="15">
        <f>SUMIFS(Data!$N$2:$N$1201,Data!$P$2:$P$1201,A29)</f>
        <v>36909.570000000014</v>
      </c>
      <c r="D29" s="15">
        <f>IF(B29=0,0,C29/B29)</f>
        <v>1153.4240625000004</v>
      </c>
    </row>
    <row r="30" spans="1:4" x14ac:dyDescent="0.2">
      <c r="A30" s="19">
        <v>45352</v>
      </c>
      <c r="B30" s="7">
        <f>COUNTIFS(Data!$P$2:$P$1201,A30)</f>
        <v>36</v>
      </c>
      <c r="C30" s="15">
        <f>SUMIFS(Data!$N$2:$N$1201,Data!$P$2:$P$1201,A30)</f>
        <v>36030.899999999994</v>
      </c>
      <c r="D30" s="15">
        <f>IF(B30=0,0,C30/B30)</f>
        <v>1000.8583333333331</v>
      </c>
    </row>
    <row r="31" spans="1:4" x14ac:dyDescent="0.2">
      <c r="A31" s="19">
        <v>45383</v>
      </c>
      <c r="B31" s="7">
        <f>COUNTIFS(Data!$P$2:$P$1201,A31)</f>
        <v>50</v>
      </c>
      <c r="C31" s="15">
        <f>SUMIFS(Data!$N$2:$N$1201,Data!$P$2:$P$1201,A31)</f>
        <v>49613.139999999992</v>
      </c>
      <c r="D31" s="15">
        <f>IF(B31=0,0,C31/B31)</f>
        <v>992.26279999999986</v>
      </c>
    </row>
    <row r="32" spans="1:4" x14ac:dyDescent="0.2">
      <c r="A32" s="19">
        <v>45413</v>
      </c>
      <c r="B32" s="7">
        <f>COUNTIFS(Data!$P$2:$P$1201,A32)</f>
        <v>34</v>
      </c>
      <c r="C32" s="15">
        <f>SUMIFS(Data!$N$2:$N$1201,Data!$P$2:$P$1201,A32)</f>
        <v>27909.110000000004</v>
      </c>
      <c r="D32" s="15">
        <f>IF(B32=0,0,C32/B32)</f>
        <v>820.85617647058837</v>
      </c>
    </row>
    <row r="33" spans="1:4" x14ac:dyDescent="0.2">
      <c r="A33" s="19">
        <v>45444</v>
      </c>
      <c r="B33" s="7">
        <f>COUNTIFS(Data!$P$2:$P$1201,A33)</f>
        <v>53</v>
      </c>
      <c r="C33" s="15">
        <f>SUMIFS(Data!$N$2:$N$1201,Data!$P$2:$P$1201,A33)</f>
        <v>68068.539999999979</v>
      </c>
      <c r="D33" s="15">
        <f>IF(B33=0,0,C33/B33)</f>
        <v>1284.3120754716977</v>
      </c>
    </row>
    <row r="34" spans="1:4" x14ac:dyDescent="0.2">
      <c r="A34" s="19">
        <v>45474</v>
      </c>
      <c r="B34" s="7">
        <f>COUNTIFS(Data!$P$2:$P$1201,A34)</f>
        <v>43</v>
      </c>
      <c r="C34" s="15">
        <f>SUMIFS(Data!$N$2:$N$1201,Data!$P$2:$P$1201,A34)</f>
        <v>42963.98</v>
      </c>
      <c r="D34" s="15">
        <f>IF(B34=0,0,C34/B34)</f>
        <v>999.16232558139541</v>
      </c>
    </row>
    <row r="35" spans="1:4" x14ac:dyDescent="0.2">
      <c r="A35" s="19">
        <v>45505</v>
      </c>
      <c r="B35" s="7">
        <f>COUNTIFS(Data!$P$2:$P$1201,A35)</f>
        <v>28</v>
      </c>
      <c r="C35" s="15">
        <f>SUMIFS(Data!$N$2:$N$1201,Data!$P$2:$P$1201,A35)</f>
        <v>31991.07</v>
      </c>
      <c r="D35" s="15">
        <f>IF(B35=0,0,C35/B35)</f>
        <v>1142.5382142857143</v>
      </c>
    </row>
    <row r="36" spans="1:4" x14ac:dyDescent="0.2">
      <c r="A36" s="19">
        <v>45536</v>
      </c>
      <c r="B36" s="7">
        <f>COUNTIFS(Data!$P$2:$P$1201,A36)</f>
        <v>44</v>
      </c>
      <c r="C36" s="15">
        <f>SUMIFS(Data!$N$2:$N$1201,Data!$P$2:$P$1201,A36)</f>
        <v>39794.979999999996</v>
      </c>
      <c r="D36" s="15">
        <f>IF(B36=0,0,C36/B36)</f>
        <v>904.43136363636359</v>
      </c>
    </row>
    <row r="37" spans="1:4" x14ac:dyDescent="0.2">
      <c r="A37" s="19">
        <v>45566</v>
      </c>
      <c r="B37" s="7">
        <f>COUNTIFS(Data!$P$2:$P$1201,A37)</f>
        <v>31</v>
      </c>
      <c r="C37" s="15">
        <f>SUMIFS(Data!$N$2:$N$1201,Data!$P$2:$P$1201,A37)</f>
        <v>37226.969999999994</v>
      </c>
      <c r="D37" s="15">
        <f>IF(B37=0,0,C37/B37)</f>
        <v>1200.8699999999999</v>
      </c>
    </row>
    <row r="38" spans="1:4" x14ac:dyDescent="0.2">
      <c r="A38" s="19">
        <v>45597</v>
      </c>
      <c r="B38" s="7">
        <f>COUNTIFS(Data!$P$2:$P$1201,A38)</f>
        <v>35</v>
      </c>
      <c r="C38" s="15">
        <f>SUMIFS(Data!$N$2:$N$1201,Data!$P$2:$P$1201,A38)</f>
        <v>32413.760000000006</v>
      </c>
      <c r="D38" s="15">
        <f>IF(B38=0,0,C38/B38)</f>
        <v>926.10742857142873</v>
      </c>
    </row>
    <row r="39" spans="1:4" x14ac:dyDescent="0.2">
      <c r="A39" s="19">
        <v>45627</v>
      </c>
      <c r="B39" s="7">
        <f>COUNTIFS(Data!$P$2:$P$1201,A39)</f>
        <v>41</v>
      </c>
      <c r="C39" s="15">
        <f>SUMIFS(Data!$N$2:$N$1201,Data!$P$2:$P$1201,A39)</f>
        <v>38785.769999999997</v>
      </c>
      <c r="D39" s="15">
        <f>IF(B39=0,0,C39/B39)</f>
        <v>945.99439024390233</v>
      </c>
    </row>
    <row r="40" spans="1:4" x14ac:dyDescent="0.2">
      <c r="A40" s="19">
        <v>45658</v>
      </c>
      <c r="B40" s="7">
        <f>COUNTIFS(Data!$P$2:$P$1201,A40)</f>
        <v>27</v>
      </c>
      <c r="C40" s="15">
        <f>SUMIFS(Data!$N$2:$N$1201,Data!$P$2:$P$1201,A40)</f>
        <v>29099.399999999998</v>
      </c>
      <c r="D40" s="15">
        <f>IF(B40=0,0,C40/B40)</f>
        <v>1077.7555555555555</v>
      </c>
    </row>
    <row r="41" spans="1:4" x14ac:dyDescent="0.2">
      <c r="A41" s="19">
        <v>45689</v>
      </c>
      <c r="B41" s="7">
        <f>COUNTIFS(Data!$P$2:$P$1201,A41)</f>
        <v>37</v>
      </c>
      <c r="C41" s="15">
        <f>SUMIFS(Data!$N$2:$N$1201,Data!$P$2:$P$1201,A41)</f>
        <v>35317.549999999996</v>
      </c>
      <c r="D41" s="15">
        <f>IF(B41=0,0,C41/B41)</f>
        <v>954.52837837837831</v>
      </c>
    </row>
    <row r="42" spans="1:4" x14ac:dyDescent="0.2">
      <c r="A42" s="19">
        <v>45717</v>
      </c>
      <c r="B42" s="7">
        <f>COUNTIFS(Data!$P$2:$P$1201,A42)</f>
        <v>49</v>
      </c>
      <c r="C42" s="15">
        <f>SUMIFS(Data!$N$2:$N$1201,Data!$P$2:$P$1201,A42)</f>
        <v>39200.660000000011</v>
      </c>
      <c r="D42" s="15">
        <f>IF(B42=0,0,C42/B42)</f>
        <v>800.01346938775532</v>
      </c>
    </row>
    <row r="43" spans="1:4" x14ac:dyDescent="0.2">
      <c r="A43" s="19">
        <v>45748</v>
      </c>
      <c r="B43" s="7">
        <f>COUNTIFS(Data!$P$2:$P$1201,A43)</f>
        <v>32</v>
      </c>
      <c r="C43" s="15">
        <f>SUMIFS(Data!$N$2:$N$1201,Data!$P$2:$P$1201,A43)</f>
        <v>31821.200000000001</v>
      </c>
      <c r="D43" s="15">
        <f>IF(B43=0,0,C43/B43)</f>
        <v>994.41250000000002</v>
      </c>
    </row>
    <row r="44" spans="1:4" x14ac:dyDescent="0.2">
      <c r="A44" s="19">
        <v>45778</v>
      </c>
      <c r="B44" s="7">
        <f>COUNTIFS(Data!$P$2:$P$1201,A44)</f>
        <v>37</v>
      </c>
      <c r="C44" s="15">
        <f>SUMIFS(Data!$N$2:$N$1201,Data!$P$2:$P$1201,A44)</f>
        <v>43396.639999999992</v>
      </c>
      <c r="D44" s="15">
        <f>IF(B44=0,0,C44/B44)</f>
        <v>1172.8821621621619</v>
      </c>
    </row>
    <row r="45" spans="1:4" x14ac:dyDescent="0.2">
      <c r="A45" s="19">
        <v>45809</v>
      </c>
      <c r="B45" s="7">
        <f>COUNTIFS(Data!$P$2:$P$1201,A45)</f>
        <v>49</v>
      </c>
      <c r="C45" s="15">
        <f>SUMIFS(Data!$N$2:$N$1201,Data!$P$2:$P$1201,A45)</f>
        <v>53047.399999999994</v>
      </c>
      <c r="D45" s="15">
        <f>IF(B45=0,0,C45/B45)</f>
        <v>1082.5999999999999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"/>
  <sheetViews>
    <sheetView zoomScaleNormal="100" workbookViewId="0"/>
  </sheetViews>
  <sheetFormatPr defaultColWidth="8.7421875" defaultRowHeight="15" x14ac:dyDescent="0.2"/>
  <cols>
    <col min="1" max="1" width="22.05859375" customWidth="1"/>
    <col min="2" max="2" width="11.97265625" customWidth="1"/>
    <col min="3" max="3" width="16.0078125" customWidth="1"/>
    <col min="4" max="4" width="20.04296875" customWidth="1"/>
    <col min="5" max="5" width="13.98828125" customWidth="1"/>
  </cols>
  <sheetData>
    <row r="1" spans="1:5" ht="18" x14ac:dyDescent="0.2">
      <c r="A1" s="3" t="s">
        <v>57</v>
      </c>
    </row>
    <row r="2" spans="1:5" x14ac:dyDescent="0.2">
      <c r="A2" s="4" t="s">
        <v>58</v>
      </c>
    </row>
    <row r="4" spans="1:5" x14ac:dyDescent="0.2">
      <c r="A4" s="5" t="s">
        <v>59</v>
      </c>
      <c r="B4" s="5" t="s">
        <v>44</v>
      </c>
      <c r="C4" s="5" t="s">
        <v>45</v>
      </c>
      <c r="D4" s="5" t="s">
        <v>46</v>
      </c>
      <c r="E4" s="5" t="s">
        <v>60</v>
      </c>
    </row>
    <row r="5" spans="1:5" x14ac:dyDescent="0.2">
      <c r="A5" s="6" t="s">
        <v>61</v>
      </c>
      <c r="B5" s="7">
        <f>COUNTIF(Data!$D$2:$D$1201,A5)</f>
        <v>178</v>
      </c>
      <c r="C5" s="15">
        <f>SUMIFS(Data!$N$2:$N$1201,Data!$D$2:$D$1201,A5)</f>
        <v>195620.11000000002</v>
      </c>
      <c r="D5" s="15">
        <f>C5/B5</f>
        <v>1098.989382022472</v>
      </c>
      <c r="E5" s="14">
        <f>C5/SUM(Data!$N$2:$N$1201)</f>
        <v>0.15466950792859072</v>
      </c>
    </row>
    <row r="6" spans="1:5" x14ac:dyDescent="0.2">
      <c r="A6" s="6" t="s">
        <v>62</v>
      </c>
      <c r="B6" s="7">
        <f>COUNTIF(Data!$D$2:$D$1201,A6)</f>
        <v>181</v>
      </c>
      <c r="C6" s="15">
        <f>SUMIFS(Data!$N$2:$N$1201,Data!$D$2:$D$1201,A6)</f>
        <v>195612.60999999996</v>
      </c>
      <c r="D6" s="15">
        <f>C6/B6</f>
        <v>1080.7326519337014</v>
      </c>
      <c r="E6" s="14">
        <f>C6/SUM(Data!$N$2:$N$1201)</f>
        <v>0.15466357795897015</v>
      </c>
    </row>
    <row r="7" spans="1:5" x14ac:dyDescent="0.2">
      <c r="A7" s="6" t="s">
        <v>63</v>
      </c>
      <c r="B7" s="7">
        <f>COUNTIF(Data!$D$2:$D$1201,A7)</f>
        <v>173</v>
      </c>
      <c r="C7" s="15">
        <f>SUMIFS(Data!$N$2:$N$1201,Data!$D$2:$D$1201,A7)</f>
        <v>192126.55999999994</v>
      </c>
      <c r="D7" s="15">
        <f>C7/B7</f>
        <v>1110.558150289017</v>
      </c>
      <c r="E7" s="14">
        <f>C7/SUM(Data!$N$2:$N$1201)</f>
        <v>0.15190728854621771</v>
      </c>
    </row>
    <row r="8" spans="1:5" x14ac:dyDescent="0.2">
      <c r="A8" s="6" t="s">
        <v>64</v>
      </c>
      <c r="B8" s="7">
        <f>COUNTIF(Data!$D$2:$D$1201,A8)</f>
        <v>179</v>
      </c>
      <c r="C8" s="15">
        <f>SUMIFS(Data!$N$2:$N$1201,Data!$D$2:$D$1201,A8)</f>
        <v>186568.95000000007</v>
      </c>
      <c r="D8" s="15">
        <f>C8/B8</f>
        <v>1042.2846368715088</v>
      </c>
      <c r="E8" s="14">
        <f>C8/SUM(Data!$N$2:$N$1201)</f>
        <v>0.14751309408451849</v>
      </c>
    </row>
    <row r="9" spans="1:5" x14ac:dyDescent="0.2">
      <c r="A9" s="6" t="s">
        <v>65</v>
      </c>
      <c r="B9" s="7">
        <f>COUNTIF(Data!$D$2:$D$1201,A9)</f>
        <v>163</v>
      </c>
      <c r="C9" s="15">
        <f>SUMIFS(Data!$N$2:$N$1201,Data!$D$2:$D$1201,A9)</f>
        <v>175651.40999999997</v>
      </c>
      <c r="D9" s="15">
        <f>C9/B9</f>
        <v>1077.6160122699384</v>
      </c>
      <c r="E9" s="14">
        <f>C9/SUM(Data!$N$2:$N$1201)</f>
        <v>0.13888100334706455</v>
      </c>
    </row>
    <row r="10" spans="1:5" x14ac:dyDescent="0.2">
      <c r="A10" s="6" t="s">
        <v>66</v>
      </c>
      <c r="B10" s="7">
        <f>COUNTIF(Data!$D$2:$D$1201,A10)</f>
        <v>170</v>
      </c>
      <c r="C10" s="15">
        <f>SUMIFS(Data!$N$2:$N$1201,Data!$D$2:$D$1201,A10)</f>
        <v>167459.93</v>
      </c>
      <c r="D10" s="15">
        <f>C10/B10</f>
        <v>985.05841176470585</v>
      </c>
      <c r="E10" s="14">
        <f>C10/SUM(Data!$N$2:$N$1201)</f>
        <v>0.13240430634077574</v>
      </c>
    </row>
    <row r="11" spans="1:5" x14ac:dyDescent="0.2">
      <c r="A11" s="6" t="s">
        <v>67</v>
      </c>
      <c r="B11" s="7">
        <f>COUNTIF(Data!$D$2:$D$1201,A11)</f>
        <v>156</v>
      </c>
      <c r="C11" s="15">
        <f>SUMIFS(Data!$N$2:$N$1201,Data!$D$2:$D$1201,A11)</f>
        <v>151722.39000000001</v>
      </c>
      <c r="D11" s="15">
        <f>C11/B11</f>
        <v>972.57942307692315</v>
      </c>
      <c r="E11" s="14">
        <f>C11/SUM(Data!$N$2:$N$1201)</f>
        <v>0.11996122179386227</v>
      </c>
    </row>
    <row r="13" spans="1:5" x14ac:dyDescent="0.2">
      <c r="A13" s="5" t="s">
        <v>68</v>
      </c>
      <c r="B13" s="5" t="s">
        <v>44</v>
      </c>
      <c r="C13" s="5" t="s">
        <v>45</v>
      </c>
      <c r="D13" s="5" t="s">
        <v>46</v>
      </c>
      <c r="E13" s="5" t="s">
        <v>60</v>
      </c>
    </row>
    <row r="14" spans="1:5" x14ac:dyDescent="0.2">
      <c r="A14" s="6" t="s">
        <v>69</v>
      </c>
      <c r="B14" s="7">
        <f>COUNTIF(Data!$I$2:$I$1201,A14)</f>
        <v>231</v>
      </c>
      <c r="C14" s="15">
        <f>SUMIFS(Data!$N$2:$N$1201,Data!$I$2:$I$1201,A14)</f>
        <v>242600.31999999998</v>
      </c>
      <c r="D14" s="15">
        <f>C14/B14</f>
        <v>1050.2178354978355</v>
      </c>
      <c r="E14" s="14">
        <f>C14/SUM(Data!$N$2:$N$1201)</f>
        <v>0.19181500367073018</v>
      </c>
    </row>
    <row r="15" spans="1:5" x14ac:dyDescent="0.2">
      <c r="A15" s="6" t="s">
        <v>70</v>
      </c>
      <c r="B15" s="7">
        <f>COUNTIF(Data!$I$2:$I$1201,A15)</f>
        <v>235</v>
      </c>
      <c r="C15" s="15">
        <f>SUMIFS(Data!$N$2:$N$1201,Data!$I$2:$I$1201,A15)</f>
        <v>246159.57999999987</v>
      </c>
      <c r="D15" s="15">
        <f>C15/B15</f>
        <v>1047.4875744680846</v>
      </c>
      <c r="E15" s="14">
        <f>C15/SUM(Data!$N$2:$N$1201)</f>
        <v>0.19462917749360503</v>
      </c>
    </row>
    <row r="16" spans="1:5" x14ac:dyDescent="0.2">
      <c r="A16" s="6" t="s">
        <v>71</v>
      </c>
      <c r="B16" s="7">
        <f>COUNTIF(Data!$I$2:$I$1201,A16)</f>
        <v>237</v>
      </c>
      <c r="C16" s="15">
        <f>SUMIFS(Data!$N$2:$N$1201,Data!$I$2:$I$1201,A16)</f>
        <v>256328.15000000002</v>
      </c>
      <c r="D16" s="15">
        <f>C16/B16</f>
        <v>1081.5533755274262</v>
      </c>
      <c r="E16" s="14">
        <f>C16/SUM(Data!$N$2:$N$1201)</f>
        <v>0.20266908565150071</v>
      </c>
    </row>
    <row r="17" spans="1:5" x14ac:dyDescent="0.2">
      <c r="A17" s="6" t="s">
        <v>72</v>
      </c>
      <c r="B17" s="7">
        <f>COUNTIF(Data!$I$2:$I$1201,A17)</f>
        <v>247</v>
      </c>
      <c r="C17" s="15">
        <f>SUMIFS(Data!$N$2:$N$1201,Data!$I$2:$I$1201,A17)</f>
        <v>243277.70000000013</v>
      </c>
      <c r="D17" s="15">
        <f>C17/B17</f>
        <v>984.9299595141706</v>
      </c>
      <c r="E17" s="14">
        <f>C17/SUM(Data!$N$2:$N$1201)</f>
        <v>0.19235058271360411</v>
      </c>
    </row>
    <row r="18" spans="1:5" x14ac:dyDescent="0.2">
      <c r="A18" s="6" t="s">
        <v>73</v>
      </c>
      <c r="B18" s="7">
        <f>COUNTIF(Data!$I$2:$I$1201,A18)</f>
        <v>250</v>
      </c>
      <c r="C18" s="15">
        <f>SUMIFS(Data!$N$2:$N$1201,Data!$I$2:$I$1201,A18)</f>
        <v>276396.20999999996</v>
      </c>
      <c r="D18" s="15">
        <f>C18/B18</f>
        <v>1105.5848399999998</v>
      </c>
      <c r="E18" s="14">
        <f>C18/SUM(Data!$N$2:$N$1201)</f>
        <v>0.2185361504705596</v>
      </c>
    </row>
    <row r="20" spans="1:5" x14ac:dyDescent="0.2">
      <c r="A20" s="5" t="s">
        <v>74</v>
      </c>
      <c r="B20" s="5" t="s">
        <v>44</v>
      </c>
      <c r="C20" s="5" t="s">
        <v>45</v>
      </c>
      <c r="D20" s="5" t="s">
        <v>46</v>
      </c>
      <c r="E20" s="5" t="s">
        <v>60</v>
      </c>
    </row>
    <row r="21" spans="1:5" x14ac:dyDescent="0.2">
      <c r="A21" s="6" t="s">
        <v>75</v>
      </c>
      <c r="B21" s="7">
        <f>COUNTIF(Data!$H$2:$H$1201,A21)</f>
        <v>246</v>
      </c>
      <c r="C21" s="15">
        <f>SUMIFS(Data!$N$2:$N$1201,Data!$H$2:$H$1201,A21)</f>
        <v>259786.28999999992</v>
      </c>
      <c r="D21" s="15">
        <f>C21/B21</f>
        <v>1056.0418292682923</v>
      </c>
      <c r="E21" s="14">
        <f>C21/SUM(Data!$N$2:$N$1201)</f>
        <v>0.20540330767063855</v>
      </c>
    </row>
    <row r="22" spans="1:5" x14ac:dyDescent="0.2">
      <c r="A22" s="6" t="s">
        <v>76</v>
      </c>
      <c r="B22" s="7">
        <f>COUNTIF(Data!$H$2:$H$1201,A22)</f>
        <v>234</v>
      </c>
      <c r="C22" s="15">
        <f>SUMIFS(Data!$N$2:$N$1201,Data!$H$2:$H$1201,A22)</f>
        <v>263847.62999999989</v>
      </c>
      <c r="D22" s="15">
        <f>C22/B22</f>
        <v>1127.5539743589738</v>
      </c>
      <c r="E22" s="14">
        <f>C22/SUM(Data!$N$2:$N$1201)</f>
        <v>0.20861445737979012</v>
      </c>
    </row>
    <row r="23" spans="1:5" x14ac:dyDescent="0.2">
      <c r="A23" s="6" t="s">
        <v>77</v>
      </c>
      <c r="B23" s="7">
        <f>COUNTIF(Data!$H$2:$H$1201,A23)</f>
        <v>232</v>
      </c>
      <c r="C23" s="15">
        <f>SUMIFS(Data!$N$2:$N$1201,Data!$H$2:$H$1201,A23)</f>
        <v>232361.17999999996</v>
      </c>
      <c r="D23" s="15">
        <f>C23/B23</f>
        <v>1001.5568103448275</v>
      </c>
      <c r="E23" s="14">
        <f>C23/SUM(Data!$N$2:$N$1201)</f>
        <v>0.18371929845201851</v>
      </c>
    </row>
    <row r="24" spans="1:5" x14ac:dyDescent="0.2">
      <c r="A24" s="6" t="s">
        <v>78</v>
      </c>
      <c r="B24" s="7">
        <f>COUNTIF(Data!$H$2:$H$1201,A24)</f>
        <v>230</v>
      </c>
      <c r="C24" s="15">
        <f>SUMIFS(Data!$N$2:$N$1201,Data!$H$2:$H$1201,A24)</f>
        <v>246323.9200000001</v>
      </c>
      <c r="D24" s="15">
        <f>C24/B24</f>
        <v>1070.9735652173918</v>
      </c>
      <c r="E24" s="14">
        <f>C24/SUM(Data!$N$2:$N$1201)</f>
        <v>0.19475911498793022</v>
      </c>
    </row>
    <row r="25" spans="1:5" x14ac:dyDescent="0.2">
      <c r="A25" s="6" t="s">
        <v>79</v>
      </c>
      <c r="B25" s="7">
        <f>COUNTIF(Data!$H$2:$H$1201,A25)</f>
        <v>258</v>
      </c>
      <c r="C25" s="15">
        <f>SUMIFS(Data!$N$2:$N$1201,Data!$H$2:$H$1201,A25)</f>
        <v>262442.94000000012</v>
      </c>
      <c r="D25" s="15">
        <f>C25/B25</f>
        <v>1017.2206976744191</v>
      </c>
      <c r="E25" s="14">
        <f>C25/SUM(Data!$N$2:$N$1201)</f>
        <v>0.20750382150962227</v>
      </c>
    </row>
    <row r="27" spans="1:5" x14ac:dyDescent="0.2">
      <c r="A27" s="5" t="s">
        <v>80</v>
      </c>
      <c r="B27" s="5" t="s">
        <v>44</v>
      </c>
      <c r="C27" s="5" t="s">
        <v>45</v>
      </c>
      <c r="D27" s="5" t="s">
        <v>46</v>
      </c>
      <c r="E27" s="5" t="s">
        <v>60</v>
      </c>
    </row>
    <row r="28" spans="1:5" x14ac:dyDescent="0.2">
      <c r="A28" s="6" t="s">
        <v>81</v>
      </c>
      <c r="B28" s="7">
        <f>COUNTIF(Data!$R$2:$R$1201,A28)</f>
        <v>309</v>
      </c>
      <c r="C28" s="15">
        <f>SUMIFS(Data!$N$2:$N$1201,Data!$R$2:$R$1201,A28)</f>
        <v>322401.40999999992</v>
      </c>
      <c r="D28" s="15">
        <f>C28/B28</f>
        <v>1043.3702588996762</v>
      </c>
      <c r="E28" s="14">
        <f>C28/SUM(Data!$N$2:$N$1201)</f>
        <v>0.25491074225540417</v>
      </c>
    </row>
    <row r="29" spans="1:5" x14ac:dyDescent="0.2">
      <c r="A29" s="6" t="s">
        <v>82</v>
      </c>
      <c r="B29" s="7">
        <f>COUNTIF(Data!$R$2:$R$1201,A29)</f>
        <v>313</v>
      </c>
      <c r="C29" s="15">
        <f>SUMIFS(Data!$N$2:$N$1201,Data!$R$2:$R$1201,A29)</f>
        <v>335036.99000000028</v>
      </c>
      <c r="D29" s="15">
        <f>C29/B29</f>
        <v>1070.4057188498412</v>
      </c>
      <c r="E29" s="14">
        <f>C29/SUM(Data!$N$2:$N$1201)</f>
        <v>0.264901222993772</v>
      </c>
    </row>
    <row r="30" spans="1:5" x14ac:dyDescent="0.2">
      <c r="A30" s="6" t="s">
        <v>83</v>
      </c>
      <c r="B30" s="7">
        <f>COUNTIF(Data!$R$2:$R$1201,A30)</f>
        <v>286</v>
      </c>
      <c r="C30" s="15">
        <f>SUMIFS(Data!$N$2:$N$1201,Data!$R$2:$R$1201,A30)</f>
        <v>304840.02</v>
      </c>
      <c r="D30" s="15">
        <f>C30/B30</f>
        <v>1065.8741958041958</v>
      </c>
      <c r="E30" s="14">
        <f>C30/SUM(Data!$N$2:$N$1201)</f>
        <v>0.24102560769617068</v>
      </c>
    </row>
    <row r="31" spans="1:5" x14ac:dyDescent="0.2">
      <c r="A31" s="6" t="s">
        <v>84</v>
      </c>
      <c r="B31" s="7">
        <f>COUNTIF(Data!$R$2:$R$1201,A31)</f>
        <v>292</v>
      </c>
      <c r="C31" s="15">
        <f>SUMIFS(Data!$N$2:$N$1201,Data!$R$2:$R$1201,A31)</f>
        <v>302483.54000000021</v>
      </c>
      <c r="D31" s="15">
        <f>C31/B31</f>
        <v>1035.9025342465761</v>
      </c>
      <c r="E31" s="14">
        <f>C31/SUM(Data!$N$2:$N$1201)</f>
        <v>0.23916242705465313</v>
      </c>
    </row>
    <row r="33" spans="1:5" x14ac:dyDescent="0.2">
      <c r="A33" s="5" t="s">
        <v>85</v>
      </c>
      <c r="B33" s="5" t="s">
        <v>44</v>
      </c>
      <c r="C33" s="5" t="s">
        <v>45</v>
      </c>
      <c r="D33" s="5" t="s">
        <v>46</v>
      </c>
      <c r="E33" s="5" t="s">
        <v>60</v>
      </c>
    </row>
    <row r="34" spans="1:5" x14ac:dyDescent="0.2">
      <c r="A34" s="6" t="s">
        <v>86</v>
      </c>
      <c r="B34" s="7">
        <f>COUNTIF(Data!$M$2:$M$1201,A34)</f>
        <v>250</v>
      </c>
      <c r="C34" s="15">
        <f>SUMIFS(Data!$N$2:$N$1201,Data!$M$2:$M$1201,A34)</f>
        <v>261808.55000000002</v>
      </c>
      <c r="D34" s="15">
        <f>C34/B34</f>
        <v>1047.2342000000001</v>
      </c>
      <c r="E34" s="14">
        <f>C34/SUM(Data!$N$2:$N$1201)</f>
        <v>0.20700223305261325</v>
      </c>
    </row>
    <row r="35" spans="1:5" x14ac:dyDescent="0.2">
      <c r="A35" s="6" t="s">
        <v>87</v>
      </c>
      <c r="B35" s="7">
        <f>COUNTIF(Data!$M$2:$M$1201,A35)</f>
        <v>228</v>
      </c>
      <c r="C35" s="15">
        <f>SUMIFS(Data!$N$2:$N$1201,Data!$M$2:$M$1201,A35)</f>
        <v>250410.9</v>
      </c>
      <c r="D35" s="15">
        <f>C35/B35</f>
        <v>1098.2934210526316</v>
      </c>
      <c r="E35" s="14">
        <f>C35/SUM(Data!$N$2:$N$1201)</f>
        <v>0.1979905372865578</v>
      </c>
    </row>
    <row r="36" spans="1:5" x14ac:dyDescent="0.2">
      <c r="A36" s="6" t="s">
        <v>88</v>
      </c>
      <c r="B36" s="7">
        <f>COUNTIF(Data!$M$2:$M$1201,A36)</f>
        <v>241</v>
      </c>
      <c r="C36" s="15">
        <f>SUMIFS(Data!$N$2:$N$1201,Data!$M$2:$M$1201,A36)</f>
        <v>250441.47999999998</v>
      </c>
      <c r="D36" s="15">
        <f>C36/B36</f>
        <v>1039.1762655601658</v>
      </c>
      <c r="E36" s="14">
        <f>C36/SUM(Data!$N$2:$N$1201)</f>
        <v>0.19801471574935722</v>
      </c>
    </row>
    <row r="37" spans="1:5" x14ac:dyDescent="0.2">
      <c r="A37" s="6" t="s">
        <v>89</v>
      </c>
      <c r="B37" s="7">
        <f>COUNTIF(Data!$M$2:$M$1201,A37)</f>
        <v>259</v>
      </c>
      <c r="C37" s="15">
        <f>SUMIFS(Data!$N$2:$N$1201,Data!$M$2:$M$1201,A37)</f>
        <v>275285.45000000007</v>
      </c>
      <c r="D37" s="15">
        <f>C37/B37</f>
        <v>1062.8781853281855</v>
      </c>
      <c r="E37" s="14">
        <f>C37/SUM(Data!$N$2:$N$1201)</f>
        <v>0.21765791406313326</v>
      </c>
    </row>
    <row r="38" spans="1:5" x14ac:dyDescent="0.2">
      <c r="A38" s="6" t="s">
        <v>90</v>
      </c>
      <c r="B38" s="7">
        <f>COUNTIF(Data!$M$2:$M$1201,A38)</f>
        <v>222</v>
      </c>
      <c r="C38" s="15">
        <f>SUMIFS(Data!$N$2:$N$1201,Data!$M$2:$M$1201,A38)</f>
        <v>226815.5799999999</v>
      </c>
      <c r="D38" s="15">
        <f>C38/B38</f>
        <v>1021.6918018018014</v>
      </c>
      <c r="E38" s="14">
        <f>C38/SUM(Data!$N$2:$N$1201)</f>
        <v>0.17933459984833813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zoomScaleNormal="100" workbookViewId="0"/>
  </sheetViews>
  <sheetFormatPr defaultColWidth="8.7421875" defaultRowHeight="15" x14ac:dyDescent="0.2"/>
  <cols>
    <col min="1" max="7" width="14.9296875" customWidth="1"/>
  </cols>
  <sheetData>
    <row r="1" spans="1:7" ht="18" x14ac:dyDescent="0.2">
      <c r="A1" s="3" t="s">
        <v>91</v>
      </c>
    </row>
    <row r="2" spans="1:7" x14ac:dyDescent="0.2">
      <c r="A2" s="4" t="s">
        <v>92</v>
      </c>
    </row>
    <row r="4" spans="1:7" x14ac:dyDescent="0.2">
      <c r="A4" s="5" t="s">
        <v>93</v>
      </c>
      <c r="B4" s="5" t="s">
        <v>94</v>
      </c>
      <c r="C4" s="5" t="s">
        <v>59</v>
      </c>
      <c r="D4" s="5" t="s">
        <v>5</v>
      </c>
      <c r="E4" s="5" t="s">
        <v>4</v>
      </c>
      <c r="F4" s="5" t="s">
        <v>3</v>
      </c>
      <c r="G4" s="5" t="s">
        <v>68</v>
      </c>
    </row>
    <row r="5" spans="1:7" x14ac:dyDescent="0.2">
      <c r="A5" s="17" t="s">
        <v>95</v>
      </c>
      <c r="B5" s="20">
        <v>45155</v>
      </c>
      <c r="C5" s="17" t="s">
        <v>64</v>
      </c>
      <c r="D5" s="13">
        <v>5</v>
      </c>
      <c r="E5" s="11">
        <v>691.28</v>
      </c>
      <c r="F5" s="11">
        <v>3456.4</v>
      </c>
      <c r="G5" s="17" t="s">
        <v>69</v>
      </c>
    </row>
    <row r="6" spans="1:7" x14ac:dyDescent="0.2">
      <c r="A6" s="17" t="s">
        <v>96</v>
      </c>
      <c r="B6" s="20">
        <v>45084</v>
      </c>
      <c r="C6" s="17" t="s">
        <v>65</v>
      </c>
      <c r="D6" s="13">
        <v>5</v>
      </c>
      <c r="E6" s="11">
        <v>678.19</v>
      </c>
      <c r="F6" s="11">
        <v>3390.95</v>
      </c>
      <c r="G6" s="17" t="s">
        <v>72</v>
      </c>
    </row>
    <row r="7" spans="1:7" x14ac:dyDescent="0.2">
      <c r="A7" s="17" t="s">
        <v>97</v>
      </c>
      <c r="B7" s="20">
        <v>45048</v>
      </c>
      <c r="C7" s="17" t="s">
        <v>63</v>
      </c>
      <c r="D7" s="13">
        <v>5</v>
      </c>
      <c r="E7" s="11">
        <v>678.16</v>
      </c>
      <c r="F7" s="11">
        <v>3390.8</v>
      </c>
      <c r="G7" s="17" t="s">
        <v>69</v>
      </c>
    </row>
    <row r="8" spans="1:7" x14ac:dyDescent="0.2">
      <c r="A8" s="17" t="s">
        <v>98</v>
      </c>
      <c r="B8" s="20">
        <v>45256</v>
      </c>
      <c r="C8" s="17" t="s">
        <v>61</v>
      </c>
      <c r="D8" s="13">
        <v>5</v>
      </c>
      <c r="E8" s="11">
        <v>676.98</v>
      </c>
      <c r="F8" s="11">
        <v>3384.9</v>
      </c>
      <c r="G8" s="17" t="s">
        <v>73</v>
      </c>
    </row>
    <row r="9" spans="1:7" x14ac:dyDescent="0.2">
      <c r="A9" s="17" t="s">
        <v>99</v>
      </c>
      <c r="B9" s="20">
        <v>44985</v>
      </c>
      <c r="C9" s="17" t="s">
        <v>64</v>
      </c>
      <c r="D9" s="13">
        <v>5</v>
      </c>
      <c r="E9" s="11">
        <v>674.04</v>
      </c>
      <c r="F9" s="11">
        <v>3370.2</v>
      </c>
      <c r="G9" s="17" t="s">
        <v>73</v>
      </c>
    </row>
    <row r="10" spans="1:7" x14ac:dyDescent="0.2">
      <c r="A10" s="17" t="s">
        <v>100</v>
      </c>
      <c r="B10" s="20">
        <v>45012</v>
      </c>
      <c r="C10" s="17" t="s">
        <v>62</v>
      </c>
      <c r="D10" s="13">
        <v>5</v>
      </c>
      <c r="E10" s="11">
        <v>670.75</v>
      </c>
      <c r="F10" s="11">
        <v>3353.75</v>
      </c>
      <c r="G10" s="17" t="s">
        <v>70</v>
      </c>
    </row>
    <row r="11" spans="1:7" x14ac:dyDescent="0.2">
      <c r="A11" s="17" t="s">
        <v>101</v>
      </c>
      <c r="B11" s="20">
        <v>45474</v>
      </c>
      <c r="C11" s="17" t="s">
        <v>63</v>
      </c>
      <c r="D11" s="13">
        <v>5</v>
      </c>
      <c r="E11" s="11">
        <v>670.48</v>
      </c>
      <c r="F11" s="11">
        <v>3352.4</v>
      </c>
      <c r="G11" s="17" t="s">
        <v>72</v>
      </c>
    </row>
    <row r="12" spans="1:7" x14ac:dyDescent="0.2">
      <c r="A12" s="17" t="s">
        <v>102</v>
      </c>
      <c r="B12" s="20">
        <v>45229</v>
      </c>
      <c r="C12" s="17" t="s">
        <v>62</v>
      </c>
      <c r="D12" s="13">
        <v>5</v>
      </c>
      <c r="E12" s="11">
        <v>666.8</v>
      </c>
      <c r="F12" s="11">
        <v>3334</v>
      </c>
      <c r="G12" s="17" t="s">
        <v>69</v>
      </c>
    </row>
    <row r="14" spans="1:7" x14ac:dyDescent="0.2">
      <c r="A14" s="21" t="s">
        <v>103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201"/>
  <sheetViews>
    <sheetView zoomScaleNormal="100" workbookViewId="0">
      <pane ySplit="1" topLeftCell="A2" activePane="bottomLeft" state="frozen"/>
      <selection pane="bottomLeft"/>
    </sheetView>
  </sheetViews>
  <sheetFormatPr defaultColWidth="8.7421875" defaultRowHeight="15" x14ac:dyDescent="0.2"/>
  <cols>
    <col min="1" max="6" width="16.0078125" customWidth="1"/>
    <col min="7" max="7" width="34.03125" customWidth="1"/>
    <col min="8" max="18" width="16.0078125" customWidth="1"/>
  </cols>
  <sheetData>
    <row r="1" spans="1:18" ht="24.75" x14ac:dyDescent="0.2">
      <c r="A1" s="5" t="s">
        <v>93</v>
      </c>
      <c r="B1" s="5" t="s">
        <v>94</v>
      </c>
      <c r="C1" s="5" t="s">
        <v>104</v>
      </c>
      <c r="D1" s="5" t="s">
        <v>59</v>
      </c>
      <c r="E1" s="5" t="s">
        <v>5</v>
      </c>
      <c r="F1" s="5" t="s">
        <v>105</v>
      </c>
      <c r="G1" s="5" t="s">
        <v>106</v>
      </c>
      <c r="H1" s="5" t="s">
        <v>107</v>
      </c>
      <c r="I1" s="5" t="s">
        <v>108</v>
      </c>
      <c r="J1" s="5" t="s">
        <v>109</v>
      </c>
      <c r="K1" s="5" t="s">
        <v>110</v>
      </c>
      <c r="L1" s="5" t="s">
        <v>111</v>
      </c>
      <c r="M1" s="5" t="s">
        <v>112</v>
      </c>
      <c r="N1" s="5" t="s">
        <v>113</v>
      </c>
      <c r="O1" s="5" t="s">
        <v>114</v>
      </c>
      <c r="P1" s="5" t="s">
        <v>56</v>
      </c>
      <c r="Q1" s="5" t="s">
        <v>115</v>
      </c>
      <c r="R1" s="5" t="s">
        <v>116</v>
      </c>
    </row>
    <row r="2" spans="1:18" x14ac:dyDescent="0.2">
      <c r="A2" s="22" t="s">
        <v>117</v>
      </c>
      <c r="B2" s="23">
        <v>44930</v>
      </c>
      <c r="C2" s="22" t="s">
        <v>118</v>
      </c>
      <c r="D2" s="22" t="s">
        <v>65</v>
      </c>
      <c r="E2" s="22">
        <v>5</v>
      </c>
      <c r="F2" s="24">
        <v>570.62</v>
      </c>
      <c r="G2" s="22" t="s">
        <v>119</v>
      </c>
      <c r="H2" s="22" t="s">
        <v>77</v>
      </c>
      <c r="I2" s="22" t="s">
        <v>70</v>
      </c>
      <c r="J2" s="22" t="s">
        <v>120</v>
      </c>
      <c r="K2" s="22">
        <v>7</v>
      </c>
      <c r="L2" s="22" t="s">
        <v>83</v>
      </c>
      <c r="M2" s="22" t="s">
        <v>89</v>
      </c>
      <c r="N2" s="24">
        <v>2853.1</v>
      </c>
      <c r="O2" s="22">
        <f>YEAR(B2)</f>
        <v>2023</v>
      </c>
      <c r="P2" s="25">
        <f>DATE(YEAR(B2),MONTH(B2),1)</f>
        <v>44927</v>
      </c>
      <c r="Q2" s="22" t="str">
        <f>IF(N2&gt;Summary!$C$17,"Outlier","")</f>
        <v/>
      </c>
      <c r="R2" s="22" t="str">
        <f>IF(L2="","None",L2)</f>
        <v>SAVE10</v>
      </c>
    </row>
    <row r="3" spans="1:18" x14ac:dyDescent="0.2">
      <c r="A3" s="22" t="s">
        <v>121</v>
      </c>
      <c r="B3" s="23">
        <v>45527</v>
      </c>
      <c r="C3" s="22" t="s">
        <v>122</v>
      </c>
      <c r="D3" s="22" t="s">
        <v>67</v>
      </c>
      <c r="E3" s="22">
        <v>2</v>
      </c>
      <c r="F3" s="24">
        <v>151.35</v>
      </c>
      <c r="G3" s="22" t="s">
        <v>123</v>
      </c>
      <c r="H3" s="22" t="s">
        <v>79</v>
      </c>
      <c r="I3" s="22" t="s">
        <v>70</v>
      </c>
      <c r="J3" s="22" t="s">
        <v>124</v>
      </c>
      <c r="K3" s="22">
        <v>3</v>
      </c>
      <c r="L3" s="22" t="s">
        <v>83</v>
      </c>
      <c r="M3" s="22" t="s">
        <v>90</v>
      </c>
      <c r="N3" s="24">
        <v>302.7</v>
      </c>
      <c r="O3" s="22">
        <f>YEAR(B3)</f>
        <v>2024</v>
      </c>
      <c r="P3" s="25">
        <f>DATE(YEAR(B3),MONTH(B3),1)</f>
        <v>45505</v>
      </c>
      <c r="Q3" s="22" t="str">
        <f>IF(N3&gt;Summary!$C$17,"Outlier","")</f>
        <v/>
      </c>
      <c r="R3" s="22" t="str">
        <f>IF(L3="","None",L3)</f>
        <v>SAVE10</v>
      </c>
    </row>
    <row r="4" spans="1:18" x14ac:dyDescent="0.2">
      <c r="A4" s="22" t="s">
        <v>125</v>
      </c>
      <c r="B4" s="23">
        <v>45349</v>
      </c>
      <c r="C4" s="22" t="s">
        <v>126</v>
      </c>
      <c r="D4" s="22" t="s">
        <v>64</v>
      </c>
      <c r="E4" s="22">
        <v>5</v>
      </c>
      <c r="F4" s="24">
        <v>550.67999999999995</v>
      </c>
      <c r="G4" s="22" t="s">
        <v>127</v>
      </c>
      <c r="H4" s="22" t="s">
        <v>76</v>
      </c>
      <c r="I4" s="22" t="s">
        <v>73</v>
      </c>
      <c r="J4" s="22" t="s">
        <v>128</v>
      </c>
      <c r="K4" s="22">
        <v>8</v>
      </c>
      <c r="L4" s="22" t="s">
        <v>82</v>
      </c>
      <c r="M4" s="22" t="s">
        <v>86</v>
      </c>
      <c r="N4" s="24">
        <v>2753.4</v>
      </c>
      <c r="O4" s="22">
        <f>YEAR(B4)</f>
        <v>2024</v>
      </c>
      <c r="P4" s="25">
        <f>DATE(YEAR(B4),MONTH(B4),1)</f>
        <v>45323</v>
      </c>
      <c r="Q4" s="22" t="str">
        <f>IF(N4&gt;Summary!$C$17,"Outlier","")</f>
        <v/>
      </c>
      <c r="R4" s="22" t="str">
        <f>IF(L4="","None",L4)</f>
        <v>FREESHIP</v>
      </c>
    </row>
    <row r="5" spans="1:18" x14ac:dyDescent="0.2">
      <c r="A5" s="22" t="s">
        <v>129</v>
      </c>
      <c r="B5" s="23">
        <v>45214</v>
      </c>
      <c r="C5" s="22" t="s">
        <v>130</v>
      </c>
      <c r="D5" s="22" t="s">
        <v>61</v>
      </c>
      <c r="E5" s="22">
        <v>1</v>
      </c>
      <c r="F5" s="24">
        <v>273.19</v>
      </c>
      <c r="G5" s="22" t="s">
        <v>131</v>
      </c>
      <c r="H5" s="22" t="s">
        <v>77</v>
      </c>
      <c r="I5" s="22" t="s">
        <v>72</v>
      </c>
      <c r="J5" s="22" t="s">
        <v>132</v>
      </c>
      <c r="K5" s="22">
        <v>5</v>
      </c>
      <c r="L5" s="22" t="s">
        <v>83</v>
      </c>
      <c r="M5" s="22" t="s">
        <v>87</v>
      </c>
      <c r="N5" s="24">
        <v>273.19</v>
      </c>
      <c r="O5" s="22">
        <f>YEAR(B5)</f>
        <v>2023</v>
      </c>
      <c r="P5" s="25">
        <f>DATE(YEAR(B5),MONTH(B5),1)</f>
        <v>45200</v>
      </c>
      <c r="Q5" s="22" t="str">
        <f>IF(N5&gt;Summary!$C$17,"Outlier","")</f>
        <v/>
      </c>
      <c r="R5" s="22" t="str">
        <f>IF(L5="","None",L5)</f>
        <v>SAVE10</v>
      </c>
    </row>
    <row r="6" spans="1:18" x14ac:dyDescent="0.2">
      <c r="A6" s="22" t="s">
        <v>133</v>
      </c>
      <c r="B6" s="23">
        <v>45785</v>
      </c>
      <c r="C6" s="22" t="s">
        <v>134</v>
      </c>
      <c r="D6" s="22" t="s">
        <v>62</v>
      </c>
      <c r="E6" s="22">
        <v>4</v>
      </c>
      <c r="F6" s="24">
        <v>626.01</v>
      </c>
      <c r="G6" s="22" t="s">
        <v>135</v>
      </c>
      <c r="H6" s="22" t="s">
        <v>79</v>
      </c>
      <c r="I6" s="22" t="s">
        <v>69</v>
      </c>
      <c r="J6" s="22" t="s">
        <v>136</v>
      </c>
      <c r="K6" s="22">
        <v>8</v>
      </c>
      <c r="L6" s="22" t="s">
        <v>83</v>
      </c>
      <c r="M6" s="22" t="s">
        <v>86</v>
      </c>
      <c r="N6" s="24">
        <v>2504.04</v>
      </c>
      <c r="O6" s="22">
        <f>YEAR(B6)</f>
        <v>2025</v>
      </c>
      <c r="P6" s="25">
        <f>DATE(YEAR(B6),MONTH(B6),1)</f>
        <v>45778</v>
      </c>
      <c r="Q6" s="22" t="str">
        <f>IF(N6&gt;Summary!$C$17,"Outlier","")</f>
        <v/>
      </c>
      <c r="R6" s="22" t="str">
        <f>IF(L6="","None",L6)</f>
        <v>SAVE10</v>
      </c>
    </row>
    <row r="7" spans="1:18" x14ac:dyDescent="0.2">
      <c r="A7" s="22" t="s">
        <v>137</v>
      </c>
      <c r="B7" s="23">
        <v>45222</v>
      </c>
      <c r="C7" s="22" t="s">
        <v>138</v>
      </c>
      <c r="D7" s="22" t="s">
        <v>67</v>
      </c>
      <c r="E7" s="22">
        <v>2</v>
      </c>
      <c r="F7" s="24">
        <v>245.86</v>
      </c>
      <c r="G7" s="22" t="s">
        <v>139</v>
      </c>
      <c r="H7" s="22" t="s">
        <v>76</v>
      </c>
      <c r="I7" s="22" t="s">
        <v>70</v>
      </c>
      <c r="J7" s="22" t="s">
        <v>140</v>
      </c>
      <c r="K7" s="22">
        <v>4</v>
      </c>
      <c r="L7" s="22" t="s">
        <v>83</v>
      </c>
      <c r="M7" s="22" t="s">
        <v>89</v>
      </c>
      <c r="N7" s="24">
        <v>491.72</v>
      </c>
      <c r="O7" s="22">
        <f>YEAR(B7)</f>
        <v>2023</v>
      </c>
      <c r="P7" s="25">
        <f>DATE(YEAR(B7),MONTH(B7),1)</f>
        <v>45200</v>
      </c>
      <c r="Q7" s="22" t="str">
        <f>IF(N7&gt;Summary!$C$17,"Outlier","")</f>
        <v/>
      </c>
      <c r="R7" s="22" t="str">
        <f>IF(L7="","None",L7)</f>
        <v>SAVE10</v>
      </c>
    </row>
    <row r="8" spans="1:18" x14ac:dyDescent="0.2">
      <c r="A8" s="22" t="s">
        <v>141</v>
      </c>
      <c r="B8" s="23">
        <v>45825</v>
      </c>
      <c r="C8" s="22" t="s">
        <v>142</v>
      </c>
      <c r="D8" s="22" t="s">
        <v>63</v>
      </c>
      <c r="E8" s="22">
        <v>1</v>
      </c>
      <c r="F8" s="24">
        <v>664.42</v>
      </c>
      <c r="G8" s="22" t="s">
        <v>143</v>
      </c>
      <c r="H8" s="22" t="s">
        <v>78</v>
      </c>
      <c r="I8" s="22" t="s">
        <v>72</v>
      </c>
      <c r="J8" s="22" t="s">
        <v>144</v>
      </c>
      <c r="K8" s="22">
        <v>6</v>
      </c>
      <c r="L8" s="22" t="s">
        <v>83</v>
      </c>
      <c r="M8" s="22" t="s">
        <v>87</v>
      </c>
      <c r="N8" s="24">
        <v>664.42</v>
      </c>
      <c r="O8" s="22">
        <f>YEAR(B8)</f>
        <v>2025</v>
      </c>
      <c r="P8" s="25">
        <f>DATE(YEAR(B8),MONTH(B8),1)</f>
        <v>45809</v>
      </c>
      <c r="Q8" s="22" t="str">
        <f>IF(N8&gt;Summary!$C$17,"Outlier","")</f>
        <v/>
      </c>
      <c r="R8" s="22" t="str">
        <f>IF(L8="","None",L8)</f>
        <v>SAVE10</v>
      </c>
    </row>
    <row r="9" spans="1:18" x14ac:dyDescent="0.2">
      <c r="A9" s="22" t="s">
        <v>145</v>
      </c>
      <c r="B9" s="23">
        <v>45058</v>
      </c>
      <c r="C9" s="22" t="s">
        <v>146</v>
      </c>
      <c r="D9" s="22" t="s">
        <v>65</v>
      </c>
      <c r="E9" s="22">
        <v>5</v>
      </c>
      <c r="F9" s="24">
        <v>149.55000000000001</v>
      </c>
      <c r="G9" s="22" t="s">
        <v>147</v>
      </c>
      <c r="H9" s="22" t="s">
        <v>75</v>
      </c>
      <c r="I9" s="22" t="s">
        <v>70</v>
      </c>
      <c r="J9" s="22" t="s">
        <v>148</v>
      </c>
      <c r="K9" s="22">
        <v>9</v>
      </c>
      <c r="L9" s="22" t="s">
        <v>82</v>
      </c>
      <c r="M9" s="22" t="s">
        <v>87</v>
      </c>
      <c r="N9" s="24">
        <v>747.75</v>
      </c>
      <c r="O9" s="22">
        <f>YEAR(B9)</f>
        <v>2023</v>
      </c>
      <c r="P9" s="25">
        <f>DATE(YEAR(B9),MONTH(B9),1)</f>
        <v>45047</v>
      </c>
      <c r="Q9" s="22" t="str">
        <f>IF(N9&gt;Summary!$C$17,"Outlier","")</f>
        <v/>
      </c>
      <c r="R9" s="22" t="str">
        <f>IF(L9="","None",L9)</f>
        <v>FREESHIP</v>
      </c>
    </row>
    <row r="10" spans="1:18" x14ac:dyDescent="0.2">
      <c r="A10" s="22" t="s">
        <v>149</v>
      </c>
      <c r="B10" s="23">
        <v>45749</v>
      </c>
      <c r="C10" s="22" t="s">
        <v>150</v>
      </c>
      <c r="D10" s="22" t="s">
        <v>67</v>
      </c>
      <c r="E10" s="22">
        <v>2</v>
      </c>
      <c r="F10" s="24">
        <v>134.28</v>
      </c>
      <c r="G10" s="22" t="s">
        <v>151</v>
      </c>
      <c r="H10" s="22" t="s">
        <v>78</v>
      </c>
      <c r="I10" s="22" t="s">
        <v>73</v>
      </c>
      <c r="J10" s="22" t="s">
        <v>152</v>
      </c>
      <c r="K10" s="22">
        <v>2</v>
      </c>
      <c r="L10" s="22"/>
      <c r="M10" s="22" t="s">
        <v>86</v>
      </c>
      <c r="N10" s="24">
        <v>268.56</v>
      </c>
      <c r="O10" s="22">
        <f>YEAR(B10)</f>
        <v>2025</v>
      </c>
      <c r="P10" s="25">
        <f>DATE(YEAR(B10),MONTH(B10),1)</f>
        <v>45748</v>
      </c>
      <c r="Q10" s="22" t="str">
        <f>IF(N10&gt;Summary!$C$17,"Outlier","")</f>
        <v/>
      </c>
      <c r="R10" s="22" t="str">
        <f>IF(L10="","None",L10)</f>
        <v>None</v>
      </c>
    </row>
    <row r="11" spans="1:18" x14ac:dyDescent="0.2">
      <c r="A11" s="22" t="s">
        <v>153</v>
      </c>
      <c r="B11" s="23">
        <v>45251</v>
      </c>
      <c r="C11" s="22" t="s">
        <v>154</v>
      </c>
      <c r="D11" s="22" t="s">
        <v>66</v>
      </c>
      <c r="E11" s="22">
        <v>4</v>
      </c>
      <c r="F11" s="24">
        <v>509.38</v>
      </c>
      <c r="G11" s="22" t="s">
        <v>155</v>
      </c>
      <c r="H11" s="22" t="s">
        <v>76</v>
      </c>
      <c r="I11" s="22" t="s">
        <v>70</v>
      </c>
      <c r="J11" s="22" t="s">
        <v>156</v>
      </c>
      <c r="K11" s="22">
        <v>6</v>
      </c>
      <c r="L11" s="22" t="s">
        <v>83</v>
      </c>
      <c r="M11" s="22" t="s">
        <v>88</v>
      </c>
      <c r="N11" s="24">
        <v>2037.52</v>
      </c>
      <c r="O11" s="22">
        <f>YEAR(B11)</f>
        <v>2023</v>
      </c>
      <c r="P11" s="25">
        <f>DATE(YEAR(B11),MONTH(B11),1)</f>
        <v>45231</v>
      </c>
      <c r="Q11" s="22" t="str">
        <f>IF(N11&gt;Summary!$C$17,"Outlier","")</f>
        <v/>
      </c>
      <c r="R11" s="22" t="str">
        <f>IF(L11="","None",L11)</f>
        <v>SAVE10</v>
      </c>
    </row>
    <row r="12" spans="1:18" x14ac:dyDescent="0.2">
      <c r="A12" s="22" t="s">
        <v>157</v>
      </c>
      <c r="B12" s="23">
        <v>45289</v>
      </c>
      <c r="C12" s="22" t="s">
        <v>158</v>
      </c>
      <c r="D12" s="22" t="s">
        <v>64</v>
      </c>
      <c r="E12" s="22">
        <v>5</v>
      </c>
      <c r="F12" s="24">
        <v>625.97</v>
      </c>
      <c r="G12" s="22" t="s">
        <v>159</v>
      </c>
      <c r="H12" s="22" t="s">
        <v>76</v>
      </c>
      <c r="I12" s="22" t="s">
        <v>72</v>
      </c>
      <c r="J12" s="22" t="s">
        <v>160</v>
      </c>
      <c r="K12" s="22">
        <v>9</v>
      </c>
      <c r="L12" s="22" t="s">
        <v>84</v>
      </c>
      <c r="M12" s="22" t="s">
        <v>89</v>
      </c>
      <c r="N12" s="24">
        <v>3129.85</v>
      </c>
      <c r="O12" s="22">
        <f>YEAR(B12)</f>
        <v>2023</v>
      </c>
      <c r="P12" s="25">
        <f>DATE(YEAR(B12),MONTH(B12),1)</f>
        <v>45261</v>
      </c>
      <c r="Q12" s="22" t="str">
        <f>IF(N12&gt;Summary!$C$17,"Outlier","")</f>
        <v/>
      </c>
      <c r="R12" s="22" t="str">
        <f>IF(L12="","None",L12)</f>
        <v>WINTER15</v>
      </c>
    </row>
    <row r="13" spans="1:18" x14ac:dyDescent="0.2">
      <c r="A13" s="22" t="s">
        <v>161</v>
      </c>
      <c r="B13" s="23">
        <v>45339</v>
      </c>
      <c r="C13" s="22" t="s">
        <v>162</v>
      </c>
      <c r="D13" s="22" t="s">
        <v>65</v>
      </c>
      <c r="E13" s="22">
        <v>3</v>
      </c>
      <c r="F13" s="24">
        <v>49.14</v>
      </c>
      <c r="G13" s="22" t="s">
        <v>163</v>
      </c>
      <c r="H13" s="22" t="s">
        <v>79</v>
      </c>
      <c r="I13" s="22" t="s">
        <v>72</v>
      </c>
      <c r="J13" s="22" t="s">
        <v>164</v>
      </c>
      <c r="K13" s="22">
        <v>7</v>
      </c>
      <c r="L13" s="22" t="s">
        <v>83</v>
      </c>
      <c r="M13" s="22" t="s">
        <v>86</v>
      </c>
      <c r="N13" s="24">
        <v>147.41999999999999</v>
      </c>
      <c r="O13" s="22">
        <f>YEAR(B13)</f>
        <v>2024</v>
      </c>
      <c r="P13" s="25">
        <f>DATE(YEAR(B13),MONTH(B13),1)</f>
        <v>45323</v>
      </c>
      <c r="Q13" s="22" t="str">
        <f>IF(N13&gt;Summary!$C$17,"Outlier","")</f>
        <v/>
      </c>
      <c r="R13" s="22" t="str">
        <f>IF(L13="","None",L13)</f>
        <v>SAVE10</v>
      </c>
    </row>
    <row r="14" spans="1:18" x14ac:dyDescent="0.2">
      <c r="A14" s="22" t="s">
        <v>165</v>
      </c>
      <c r="B14" s="23">
        <v>45580</v>
      </c>
      <c r="C14" s="22" t="s">
        <v>166</v>
      </c>
      <c r="D14" s="22" t="s">
        <v>65</v>
      </c>
      <c r="E14" s="22">
        <v>2</v>
      </c>
      <c r="F14" s="24">
        <v>180.5</v>
      </c>
      <c r="G14" s="22" t="s">
        <v>167</v>
      </c>
      <c r="H14" s="22" t="s">
        <v>77</v>
      </c>
      <c r="I14" s="22" t="s">
        <v>71</v>
      </c>
      <c r="J14" s="22" t="s">
        <v>168</v>
      </c>
      <c r="K14" s="22">
        <v>6</v>
      </c>
      <c r="L14" s="22" t="s">
        <v>82</v>
      </c>
      <c r="M14" s="22" t="s">
        <v>90</v>
      </c>
      <c r="N14" s="24">
        <v>361</v>
      </c>
      <c r="O14" s="22">
        <f>YEAR(B14)</f>
        <v>2024</v>
      </c>
      <c r="P14" s="25">
        <f>DATE(YEAR(B14),MONTH(B14),1)</f>
        <v>45566</v>
      </c>
      <c r="Q14" s="22" t="str">
        <f>IF(N14&gt;Summary!$C$17,"Outlier","")</f>
        <v/>
      </c>
      <c r="R14" s="22" t="str">
        <f>IF(L14="","None",L14)</f>
        <v>FREESHIP</v>
      </c>
    </row>
    <row r="15" spans="1:18" x14ac:dyDescent="0.2">
      <c r="A15" s="22" t="s">
        <v>169</v>
      </c>
      <c r="B15" s="23">
        <v>45168</v>
      </c>
      <c r="C15" s="22" t="s">
        <v>170</v>
      </c>
      <c r="D15" s="22" t="s">
        <v>63</v>
      </c>
      <c r="E15" s="22">
        <v>3</v>
      </c>
      <c r="F15" s="24">
        <v>201.49</v>
      </c>
      <c r="G15" s="22" t="s">
        <v>171</v>
      </c>
      <c r="H15" s="22" t="s">
        <v>76</v>
      </c>
      <c r="I15" s="22" t="s">
        <v>72</v>
      </c>
      <c r="J15" s="22" t="s">
        <v>172</v>
      </c>
      <c r="K15" s="22">
        <v>4</v>
      </c>
      <c r="L15" s="22" t="s">
        <v>82</v>
      </c>
      <c r="M15" s="22" t="s">
        <v>87</v>
      </c>
      <c r="N15" s="24">
        <v>604.47</v>
      </c>
      <c r="O15" s="22">
        <f>YEAR(B15)</f>
        <v>2023</v>
      </c>
      <c r="P15" s="25">
        <f>DATE(YEAR(B15),MONTH(B15),1)</f>
        <v>45139</v>
      </c>
      <c r="Q15" s="22" t="str">
        <f>IF(N15&gt;Summary!$C$17,"Outlier","")</f>
        <v/>
      </c>
      <c r="R15" s="22" t="str">
        <f>IF(L15="","None",L15)</f>
        <v>FREESHIP</v>
      </c>
    </row>
    <row r="16" spans="1:18" x14ac:dyDescent="0.2">
      <c r="A16" s="22" t="s">
        <v>173</v>
      </c>
      <c r="B16" s="23">
        <v>45012</v>
      </c>
      <c r="C16" s="22" t="s">
        <v>174</v>
      </c>
      <c r="D16" s="22" t="s">
        <v>64</v>
      </c>
      <c r="E16" s="22">
        <v>2</v>
      </c>
      <c r="F16" s="24">
        <v>393.33</v>
      </c>
      <c r="G16" s="22" t="s">
        <v>175</v>
      </c>
      <c r="H16" s="22" t="s">
        <v>77</v>
      </c>
      <c r="I16" s="22" t="s">
        <v>71</v>
      </c>
      <c r="J16" s="22" t="s">
        <v>176</v>
      </c>
      <c r="K16" s="22">
        <v>3</v>
      </c>
      <c r="L16" s="22" t="s">
        <v>83</v>
      </c>
      <c r="M16" s="22" t="s">
        <v>89</v>
      </c>
      <c r="N16" s="24">
        <v>786.66</v>
      </c>
      <c r="O16" s="22">
        <f>YEAR(B16)</f>
        <v>2023</v>
      </c>
      <c r="P16" s="25">
        <f>DATE(YEAR(B16),MONTH(B16),1)</f>
        <v>44986</v>
      </c>
      <c r="Q16" s="22" t="str">
        <f>IF(N16&gt;Summary!$C$17,"Outlier","")</f>
        <v/>
      </c>
      <c r="R16" s="22" t="str">
        <f>IF(L16="","None",L16)</f>
        <v>SAVE10</v>
      </c>
    </row>
    <row r="17" spans="1:18" x14ac:dyDescent="0.2">
      <c r="A17" s="22" t="s">
        <v>177</v>
      </c>
      <c r="B17" s="23">
        <v>45124</v>
      </c>
      <c r="C17" s="22" t="s">
        <v>178</v>
      </c>
      <c r="D17" s="22" t="s">
        <v>62</v>
      </c>
      <c r="E17" s="22">
        <v>1</v>
      </c>
      <c r="F17" s="24">
        <v>473.96</v>
      </c>
      <c r="G17" s="22" t="s">
        <v>179</v>
      </c>
      <c r="H17" s="22" t="s">
        <v>75</v>
      </c>
      <c r="I17" s="22" t="s">
        <v>69</v>
      </c>
      <c r="J17" s="22" t="s">
        <v>180</v>
      </c>
      <c r="K17" s="22">
        <v>3</v>
      </c>
      <c r="L17" s="22"/>
      <c r="M17" s="22" t="s">
        <v>88</v>
      </c>
      <c r="N17" s="24">
        <v>473.96</v>
      </c>
      <c r="O17" s="22">
        <f>YEAR(B17)</f>
        <v>2023</v>
      </c>
      <c r="P17" s="25">
        <f>DATE(YEAR(B17),MONTH(B17),1)</f>
        <v>45108</v>
      </c>
      <c r="Q17" s="22" t="str">
        <f>IF(N17&gt;Summary!$C$17,"Outlier","")</f>
        <v/>
      </c>
      <c r="R17" s="22" t="str">
        <f>IF(L17="","None",L17)</f>
        <v>None</v>
      </c>
    </row>
    <row r="18" spans="1:18" x14ac:dyDescent="0.2">
      <c r="A18" s="22" t="s">
        <v>181</v>
      </c>
      <c r="B18" s="23">
        <v>44950</v>
      </c>
      <c r="C18" s="22" t="s">
        <v>182</v>
      </c>
      <c r="D18" s="22" t="s">
        <v>62</v>
      </c>
      <c r="E18" s="22">
        <v>2</v>
      </c>
      <c r="F18" s="24">
        <v>533.80999999999995</v>
      </c>
      <c r="G18" s="22" t="s">
        <v>183</v>
      </c>
      <c r="H18" s="22" t="s">
        <v>76</v>
      </c>
      <c r="I18" s="22" t="s">
        <v>71</v>
      </c>
      <c r="J18" s="22" t="s">
        <v>184</v>
      </c>
      <c r="K18" s="22">
        <v>3</v>
      </c>
      <c r="L18" s="22" t="s">
        <v>82</v>
      </c>
      <c r="M18" s="22" t="s">
        <v>86</v>
      </c>
      <c r="N18" s="24">
        <v>1067.6199999999999</v>
      </c>
      <c r="O18" s="22">
        <f>YEAR(B18)</f>
        <v>2023</v>
      </c>
      <c r="P18" s="25">
        <f>DATE(YEAR(B18),MONTH(B18),1)</f>
        <v>44927</v>
      </c>
      <c r="Q18" s="22" t="str">
        <f>IF(N18&gt;Summary!$C$17,"Outlier","")</f>
        <v/>
      </c>
      <c r="R18" s="22" t="str">
        <f>IF(L18="","None",L18)</f>
        <v>FREESHIP</v>
      </c>
    </row>
    <row r="19" spans="1:18" x14ac:dyDescent="0.2">
      <c r="A19" s="22" t="s">
        <v>185</v>
      </c>
      <c r="B19" s="23">
        <v>45353</v>
      </c>
      <c r="C19" s="22" t="s">
        <v>186</v>
      </c>
      <c r="D19" s="22" t="s">
        <v>64</v>
      </c>
      <c r="E19" s="22">
        <v>1</v>
      </c>
      <c r="F19" s="24">
        <v>423.4</v>
      </c>
      <c r="G19" s="22" t="s">
        <v>187</v>
      </c>
      <c r="H19" s="22" t="s">
        <v>77</v>
      </c>
      <c r="I19" s="22" t="s">
        <v>70</v>
      </c>
      <c r="J19" s="22" t="s">
        <v>188</v>
      </c>
      <c r="K19" s="22">
        <v>3</v>
      </c>
      <c r="L19" s="22"/>
      <c r="M19" s="22" t="s">
        <v>90</v>
      </c>
      <c r="N19" s="24">
        <v>423.4</v>
      </c>
      <c r="O19" s="22">
        <f>YEAR(B19)</f>
        <v>2024</v>
      </c>
      <c r="P19" s="25">
        <f>DATE(YEAR(B19),MONTH(B19),1)</f>
        <v>45352</v>
      </c>
      <c r="Q19" s="22" t="str">
        <f>IF(N19&gt;Summary!$C$17,"Outlier","")</f>
        <v/>
      </c>
      <c r="R19" s="22" t="str">
        <f>IF(L19="","None",L19)</f>
        <v>None</v>
      </c>
    </row>
    <row r="20" spans="1:18" x14ac:dyDescent="0.2">
      <c r="A20" s="22" t="s">
        <v>189</v>
      </c>
      <c r="B20" s="23">
        <v>45742</v>
      </c>
      <c r="C20" s="22" t="s">
        <v>190</v>
      </c>
      <c r="D20" s="22" t="s">
        <v>66</v>
      </c>
      <c r="E20" s="22">
        <v>1</v>
      </c>
      <c r="F20" s="24">
        <v>431.44</v>
      </c>
      <c r="G20" s="22" t="s">
        <v>191</v>
      </c>
      <c r="H20" s="22" t="s">
        <v>78</v>
      </c>
      <c r="I20" s="22" t="s">
        <v>71</v>
      </c>
      <c r="J20" s="22" t="s">
        <v>192</v>
      </c>
      <c r="K20" s="22">
        <v>3</v>
      </c>
      <c r="L20" s="22" t="s">
        <v>83</v>
      </c>
      <c r="M20" s="22" t="s">
        <v>87</v>
      </c>
      <c r="N20" s="24">
        <v>431.44</v>
      </c>
      <c r="O20" s="22">
        <f>YEAR(B20)</f>
        <v>2025</v>
      </c>
      <c r="P20" s="25">
        <f>DATE(YEAR(B20),MONTH(B20),1)</f>
        <v>45717</v>
      </c>
      <c r="Q20" s="22" t="str">
        <f>IF(N20&gt;Summary!$C$17,"Outlier","")</f>
        <v/>
      </c>
      <c r="R20" s="22" t="str">
        <f>IF(L20="","None",L20)</f>
        <v>SAVE10</v>
      </c>
    </row>
    <row r="21" spans="1:18" x14ac:dyDescent="0.2">
      <c r="A21" s="22" t="s">
        <v>193</v>
      </c>
      <c r="B21" s="23">
        <v>44949</v>
      </c>
      <c r="C21" s="22" t="s">
        <v>194</v>
      </c>
      <c r="D21" s="22" t="s">
        <v>65</v>
      </c>
      <c r="E21" s="22">
        <v>5</v>
      </c>
      <c r="F21" s="24">
        <v>224</v>
      </c>
      <c r="G21" s="22" t="s">
        <v>195</v>
      </c>
      <c r="H21" s="22" t="s">
        <v>75</v>
      </c>
      <c r="I21" s="22" t="s">
        <v>72</v>
      </c>
      <c r="J21" s="22" t="s">
        <v>196</v>
      </c>
      <c r="K21" s="22">
        <v>9</v>
      </c>
      <c r="L21" s="22" t="s">
        <v>83</v>
      </c>
      <c r="M21" s="22" t="s">
        <v>88</v>
      </c>
      <c r="N21" s="24">
        <v>1120</v>
      </c>
      <c r="O21" s="22">
        <f>YEAR(B21)</f>
        <v>2023</v>
      </c>
      <c r="P21" s="25">
        <f>DATE(YEAR(B21),MONTH(B21),1)</f>
        <v>44927</v>
      </c>
      <c r="Q21" s="22" t="str">
        <f>IF(N21&gt;Summary!$C$17,"Outlier","")</f>
        <v/>
      </c>
      <c r="R21" s="22" t="str">
        <f>IF(L21="","None",L21)</f>
        <v>SAVE10</v>
      </c>
    </row>
    <row r="22" spans="1:18" x14ac:dyDescent="0.2">
      <c r="A22" s="22" t="s">
        <v>197</v>
      </c>
      <c r="B22" s="23">
        <v>45054</v>
      </c>
      <c r="C22" s="22" t="s">
        <v>198</v>
      </c>
      <c r="D22" s="22" t="s">
        <v>61</v>
      </c>
      <c r="E22" s="22">
        <v>5</v>
      </c>
      <c r="F22" s="24">
        <v>62.51</v>
      </c>
      <c r="G22" s="22" t="s">
        <v>199</v>
      </c>
      <c r="H22" s="22" t="s">
        <v>75</v>
      </c>
      <c r="I22" s="22" t="s">
        <v>71</v>
      </c>
      <c r="J22" s="22" t="s">
        <v>200</v>
      </c>
      <c r="K22" s="22">
        <v>9</v>
      </c>
      <c r="L22" s="22" t="s">
        <v>84</v>
      </c>
      <c r="M22" s="22" t="s">
        <v>89</v>
      </c>
      <c r="N22" s="24">
        <v>312.55</v>
      </c>
      <c r="O22" s="22">
        <f>YEAR(B22)</f>
        <v>2023</v>
      </c>
      <c r="P22" s="25">
        <f>DATE(YEAR(B22),MONTH(B22),1)</f>
        <v>45047</v>
      </c>
      <c r="Q22" s="22" t="str">
        <f>IF(N22&gt;Summary!$C$17,"Outlier","")</f>
        <v/>
      </c>
      <c r="R22" s="22" t="str">
        <f>IF(L22="","None",L22)</f>
        <v>WINTER15</v>
      </c>
    </row>
    <row r="23" spans="1:18" x14ac:dyDescent="0.2">
      <c r="A23" s="22" t="s">
        <v>201</v>
      </c>
      <c r="B23" s="23">
        <v>45613</v>
      </c>
      <c r="C23" s="22" t="s">
        <v>202</v>
      </c>
      <c r="D23" s="22" t="s">
        <v>65</v>
      </c>
      <c r="E23" s="22">
        <v>4</v>
      </c>
      <c r="F23" s="24">
        <v>342.95</v>
      </c>
      <c r="G23" s="22" t="s">
        <v>203</v>
      </c>
      <c r="H23" s="22" t="s">
        <v>75</v>
      </c>
      <c r="I23" s="22" t="s">
        <v>69</v>
      </c>
      <c r="J23" s="22" t="s">
        <v>204</v>
      </c>
      <c r="K23" s="22">
        <v>6</v>
      </c>
      <c r="L23" s="22"/>
      <c r="M23" s="22" t="s">
        <v>88</v>
      </c>
      <c r="N23" s="24">
        <v>1371.8</v>
      </c>
      <c r="O23" s="22">
        <f>YEAR(B23)</f>
        <v>2024</v>
      </c>
      <c r="P23" s="25">
        <f>DATE(YEAR(B23),MONTH(B23),1)</f>
        <v>45597</v>
      </c>
      <c r="Q23" s="22" t="str">
        <f>IF(N23&gt;Summary!$C$17,"Outlier","")</f>
        <v/>
      </c>
      <c r="R23" s="22" t="str">
        <f>IF(L23="","None",L23)</f>
        <v>None</v>
      </c>
    </row>
    <row r="24" spans="1:18" x14ac:dyDescent="0.2">
      <c r="A24" s="22" t="s">
        <v>205</v>
      </c>
      <c r="B24" s="23">
        <v>44955</v>
      </c>
      <c r="C24" s="22" t="s">
        <v>206</v>
      </c>
      <c r="D24" s="22" t="s">
        <v>65</v>
      </c>
      <c r="E24" s="22">
        <v>2</v>
      </c>
      <c r="F24" s="24">
        <v>49.62</v>
      </c>
      <c r="G24" s="22" t="s">
        <v>207</v>
      </c>
      <c r="H24" s="22" t="s">
        <v>79</v>
      </c>
      <c r="I24" s="22" t="s">
        <v>71</v>
      </c>
      <c r="J24" s="22" t="s">
        <v>208</v>
      </c>
      <c r="K24" s="22">
        <v>2</v>
      </c>
      <c r="L24" s="22" t="s">
        <v>83</v>
      </c>
      <c r="M24" s="22" t="s">
        <v>88</v>
      </c>
      <c r="N24" s="24">
        <v>99.24</v>
      </c>
      <c r="O24" s="22">
        <f>YEAR(B24)</f>
        <v>2023</v>
      </c>
      <c r="P24" s="25">
        <f>DATE(YEAR(B24),MONTH(B24),1)</f>
        <v>44927</v>
      </c>
      <c r="Q24" s="22" t="str">
        <f>IF(N24&gt;Summary!$C$17,"Outlier","")</f>
        <v/>
      </c>
      <c r="R24" s="22" t="str">
        <f>IF(L24="","None",L24)</f>
        <v>SAVE10</v>
      </c>
    </row>
    <row r="25" spans="1:18" x14ac:dyDescent="0.2">
      <c r="A25" s="22" t="s">
        <v>209</v>
      </c>
      <c r="B25" s="23">
        <v>45756</v>
      </c>
      <c r="C25" s="22" t="s">
        <v>210</v>
      </c>
      <c r="D25" s="22" t="s">
        <v>67</v>
      </c>
      <c r="E25" s="22">
        <v>4</v>
      </c>
      <c r="F25" s="24">
        <v>273.25</v>
      </c>
      <c r="G25" s="22" t="s">
        <v>211</v>
      </c>
      <c r="H25" s="22" t="s">
        <v>77</v>
      </c>
      <c r="I25" s="22" t="s">
        <v>73</v>
      </c>
      <c r="J25" s="22" t="s">
        <v>212</v>
      </c>
      <c r="K25" s="22">
        <v>5</v>
      </c>
      <c r="L25" s="22" t="s">
        <v>82</v>
      </c>
      <c r="M25" s="22" t="s">
        <v>90</v>
      </c>
      <c r="N25" s="24">
        <v>1093</v>
      </c>
      <c r="O25" s="22">
        <f>YEAR(B25)</f>
        <v>2025</v>
      </c>
      <c r="P25" s="25">
        <f>DATE(YEAR(B25),MONTH(B25),1)</f>
        <v>45748</v>
      </c>
      <c r="Q25" s="22" t="str">
        <f>IF(N25&gt;Summary!$C$17,"Outlier","")</f>
        <v/>
      </c>
      <c r="R25" s="22" t="str">
        <f>IF(L25="","None",L25)</f>
        <v>FREESHIP</v>
      </c>
    </row>
    <row r="26" spans="1:18" x14ac:dyDescent="0.2">
      <c r="A26" s="22" t="s">
        <v>213</v>
      </c>
      <c r="B26" s="23">
        <v>45595</v>
      </c>
      <c r="C26" s="22" t="s">
        <v>214</v>
      </c>
      <c r="D26" s="22" t="s">
        <v>63</v>
      </c>
      <c r="E26" s="22">
        <v>2</v>
      </c>
      <c r="F26" s="24">
        <v>230.95</v>
      </c>
      <c r="G26" s="22" t="s">
        <v>215</v>
      </c>
      <c r="H26" s="22" t="s">
        <v>79</v>
      </c>
      <c r="I26" s="22" t="s">
        <v>69</v>
      </c>
      <c r="J26" s="22" t="s">
        <v>216</v>
      </c>
      <c r="K26" s="22">
        <v>3</v>
      </c>
      <c r="L26" s="22" t="s">
        <v>84</v>
      </c>
      <c r="M26" s="22" t="s">
        <v>90</v>
      </c>
      <c r="N26" s="24">
        <v>461.9</v>
      </c>
      <c r="O26" s="22">
        <f>YEAR(B26)</f>
        <v>2024</v>
      </c>
      <c r="P26" s="25">
        <f>DATE(YEAR(B26),MONTH(B26),1)</f>
        <v>45566</v>
      </c>
      <c r="Q26" s="22" t="str">
        <f>IF(N26&gt;Summary!$C$17,"Outlier","")</f>
        <v/>
      </c>
      <c r="R26" s="22" t="str">
        <f>IF(L26="","None",L26)</f>
        <v>WINTER15</v>
      </c>
    </row>
    <row r="27" spans="1:18" x14ac:dyDescent="0.2">
      <c r="A27" s="22" t="s">
        <v>217</v>
      </c>
      <c r="B27" s="23">
        <v>45497</v>
      </c>
      <c r="C27" s="22" t="s">
        <v>218</v>
      </c>
      <c r="D27" s="22" t="s">
        <v>65</v>
      </c>
      <c r="E27" s="22">
        <v>1</v>
      </c>
      <c r="F27" s="24">
        <v>399.98</v>
      </c>
      <c r="G27" s="22" t="s">
        <v>219</v>
      </c>
      <c r="H27" s="22" t="s">
        <v>77</v>
      </c>
      <c r="I27" s="22" t="s">
        <v>69</v>
      </c>
      <c r="J27" s="22" t="s">
        <v>220</v>
      </c>
      <c r="K27" s="22">
        <v>3</v>
      </c>
      <c r="L27" s="22" t="s">
        <v>84</v>
      </c>
      <c r="M27" s="22" t="s">
        <v>86</v>
      </c>
      <c r="N27" s="24">
        <v>399.98</v>
      </c>
      <c r="O27" s="22">
        <f>YEAR(B27)</f>
        <v>2024</v>
      </c>
      <c r="P27" s="25">
        <f>DATE(YEAR(B27),MONTH(B27),1)</f>
        <v>45474</v>
      </c>
      <c r="Q27" s="22" t="str">
        <f>IF(N27&gt;Summary!$C$17,"Outlier","")</f>
        <v/>
      </c>
      <c r="R27" s="22" t="str">
        <f>IF(L27="","None",L27)</f>
        <v>WINTER15</v>
      </c>
    </row>
    <row r="28" spans="1:18" x14ac:dyDescent="0.2">
      <c r="A28" s="22" t="s">
        <v>221</v>
      </c>
      <c r="B28" s="23">
        <v>45357</v>
      </c>
      <c r="C28" s="22" t="s">
        <v>222</v>
      </c>
      <c r="D28" s="22" t="s">
        <v>63</v>
      </c>
      <c r="E28" s="22">
        <v>5</v>
      </c>
      <c r="F28" s="24">
        <v>59.55</v>
      </c>
      <c r="G28" s="22" t="s">
        <v>223</v>
      </c>
      <c r="H28" s="22" t="s">
        <v>79</v>
      </c>
      <c r="I28" s="22" t="s">
        <v>69</v>
      </c>
      <c r="J28" s="22" t="s">
        <v>224</v>
      </c>
      <c r="K28" s="22">
        <v>6</v>
      </c>
      <c r="L28" s="22"/>
      <c r="M28" s="22" t="s">
        <v>90</v>
      </c>
      <c r="N28" s="24">
        <v>297.75</v>
      </c>
      <c r="O28" s="22">
        <f>YEAR(B28)</f>
        <v>2024</v>
      </c>
      <c r="P28" s="25">
        <f>DATE(YEAR(B28),MONTH(B28),1)</f>
        <v>45352</v>
      </c>
      <c r="Q28" s="22" t="str">
        <f>IF(N28&gt;Summary!$C$17,"Outlier","")</f>
        <v/>
      </c>
      <c r="R28" s="22" t="str">
        <f>IF(L28="","None",L28)</f>
        <v>None</v>
      </c>
    </row>
    <row r="29" spans="1:18" x14ac:dyDescent="0.2">
      <c r="A29" s="22" t="s">
        <v>225</v>
      </c>
      <c r="B29" s="23">
        <v>45344</v>
      </c>
      <c r="C29" s="22" t="s">
        <v>226</v>
      </c>
      <c r="D29" s="22" t="s">
        <v>62</v>
      </c>
      <c r="E29" s="22">
        <v>1</v>
      </c>
      <c r="F29" s="24">
        <v>472.74</v>
      </c>
      <c r="G29" s="22" t="s">
        <v>227</v>
      </c>
      <c r="H29" s="22" t="s">
        <v>79</v>
      </c>
      <c r="I29" s="22" t="s">
        <v>70</v>
      </c>
      <c r="J29" s="22" t="s">
        <v>228</v>
      </c>
      <c r="K29" s="22">
        <v>6</v>
      </c>
      <c r="L29" s="22" t="s">
        <v>84</v>
      </c>
      <c r="M29" s="22" t="s">
        <v>88</v>
      </c>
      <c r="N29" s="24">
        <v>472.74</v>
      </c>
      <c r="O29" s="22">
        <f>YEAR(B29)</f>
        <v>2024</v>
      </c>
      <c r="P29" s="25">
        <f>DATE(YEAR(B29),MONTH(B29),1)</f>
        <v>45323</v>
      </c>
      <c r="Q29" s="22" t="str">
        <f>IF(N29&gt;Summary!$C$17,"Outlier","")</f>
        <v/>
      </c>
      <c r="R29" s="22" t="str">
        <f>IF(L29="","None",L29)</f>
        <v>WINTER15</v>
      </c>
    </row>
    <row r="30" spans="1:18" x14ac:dyDescent="0.2">
      <c r="A30" s="22" t="s">
        <v>229</v>
      </c>
      <c r="B30" s="23">
        <v>45251</v>
      </c>
      <c r="C30" s="22" t="s">
        <v>230</v>
      </c>
      <c r="D30" s="22" t="s">
        <v>67</v>
      </c>
      <c r="E30" s="22">
        <v>4</v>
      </c>
      <c r="F30" s="24">
        <v>160.07</v>
      </c>
      <c r="G30" s="22" t="s">
        <v>231</v>
      </c>
      <c r="H30" s="22" t="s">
        <v>79</v>
      </c>
      <c r="I30" s="22" t="s">
        <v>71</v>
      </c>
      <c r="J30" s="22" t="s">
        <v>232</v>
      </c>
      <c r="K30" s="22">
        <v>5</v>
      </c>
      <c r="L30" s="22"/>
      <c r="M30" s="22" t="s">
        <v>86</v>
      </c>
      <c r="N30" s="24">
        <v>640.28</v>
      </c>
      <c r="O30" s="22">
        <f>YEAR(B30)</f>
        <v>2023</v>
      </c>
      <c r="P30" s="25">
        <f>DATE(YEAR(B30),MONTH(B30),1)</f>
        <v>45231</v>
      </c>
      <c r="Q30" s="22" t="str">
        <f>IF(N30&gt;Summary!$C$17,"Outlier","")</f>
        <v/>
      </c>
      <c r="R30" s="22" t="str">
        <f>IF(L30="","None",L30)</f>
        <v>None</v>
      </c>
    </row>
    <row r="31" spans="1:18" x14ac:dyDescent="0.2">
      <c r="A31" s="22" t="s">
        <v>233</v>
      </c>
      <c r="B31" s="23">
        <v>45555</v>
      </c>
      <c r="C31" s="22" t="s">
        <v>234</v>
      </c>
      <c r="D31" s="22" t="s">
        <v>66</v>
      </c>
      <c r="E31" s="22">
        <v>3</v>
      </c>
      <c r="F31" s="24">
        <v>423.53</v>
      </c>
      <c r="G31" s="22" t="s">
        <v>235</v>
      </c>
      <c r="H31" s="22" t="s">
        <v>76</v>
      </c>
      <c r="I31" s="22" t="s">
        <v>69</v>
      </c>
      <c r="J31" s="22" t="s">
        <v>236</v>
      </c>
      <c r="K31" s="22">
        <v>6</v>
      </c>
      <c r="L31" s="22" t="s">
        <v>83</v>
      </c>
      <c r="M31" s="22" t="s">
        <v>90</v>
      </c>
      <c r="N31" s="24">
        <v>1270.5899999999999</v>
      </c>
      <c r="O31" s="22">
        <f>YEAR(B31)</f>
        <v>2024</v>
      </c>
      <c r="P31" s="25">
        <f>DATE(YEAR(B31),MONTH(B31),1)</f>
        <v>45536</v>
      </c>
      <c r="Q31" s="22" t="str">
        <f>IF(N31&gt;Summary!$C$17,"Outlier","")</f>
        <v/>
      </c>
      <c r="R31" s="22" t="str">
        <f>IF(L31="","None",L31)</f>
        <v>SAVE10</v>
      </c>
    </row>
    <row r="32" spans="1:18" x14ac:dyDescent="0.2">
      <c r="A32" s="22" t="s">
        <v>237</v>
      </c>
      <c r="B32" s="23">
        <v>45738</v>
      </c>
      <c r="C32" s="22" t="s">
        <v>238</v>
      </c>
      <c r="D32" s="22" t="s">
        <v>65</v>
      </c>
      <c r="E32" s="22">
        <v>2</v>
      </c>
      <c r="F32" s="24">
        <v>426.7</v>
      </c>
      <c r="G32" s="22" t="s">
        <v>239</v>
      </c>
      <c r="H32" s="22" t="s">
        <v>79</v>
      </c>
      <c r="I32" s="22" t="s">
        <v>71</v>
      </c>
      <c r="J32" s="22" t="s">
        <v>240</v>
      </c>
      <c r="K32" s="22">
        <v>5</v>
      </c>
      <c r="L32" s="22" t="s">
        <v>83</v>
      </c>
      <c r="M32" s="22" t="s">
        <v>90</v>
      </c>
      <c r="N32" s="24">
        <v>853.4</v>
      </c>
      <c r="O32" s="22">
        <f>YEAR(B32)</f>
        <v>2025</v>
      </c>
      <c r="P32" s="25">
        <f>DATE(YEAR(B32),MONTH(B32),1)</f>
        <v>45717</v>
      </c>
      <c r="Q32" s="22" t="str">
        <f>IF(N32&gt;Summary!$C$17,"Outlier","")</f>
        <v/>
      </c>
      <c r="R32" s="22" t="str">
        <f>IF(L32="","None",L32)</f>
        <v>SAVE10</v>
      </c>
    </row>
    <row r="33" spans="1:18" x14ac:dyDescent="0.2">
      <c r="A33" s="22" t="s">
        <v>241</v>
      </c>
      <c r="B33" s="23">
        <v>45107</v>
      </c>
      <c r="C33" s="22" t="s">
        <v>242</v>
      </c>
      <c r="D33" s="22" t="s">
        <v>61</v>
      </c>
      <c r="E33" s="22">
        <v>3</v>
      </c>
      <c r="F33" s="24">
        <v>500.08</v>
      </c>
      <c r="G33" s="22" t="s">
        <v>243</v>
      </c>
      <c r="H33" s="22" t="s">
        <v>77</v>
      </c>
      <c r="I33" s="22" t="s">
        <v>72</v>
      </c>
      <c r="J33" s="22" t="s">
        <v>244</v>
      </c>
      <c r="K33" s="22">
        <v>6</v>
      </c>
      <c r="L33" s="22"/>
      <c r="M33" s="22" t="s">
        <v>87</v>
      </c>
      <c r="N33" s="24">
        <v>1500.24</v>
      </c>
      <c r="O33" s="22">
        <f>YEAR(B33)</f>
        <v>2023</v>
      </c>
      <c r="P33" s="25">
        <f>DATE(YEAR(B33),MONTH(B33),1)</f>
        <v>45078</v>
      </c>
      <c r="Q33" s="22" t="str">
        <f>IF(N33&gt;Summary!$C$17,"Outlier","")</f>
        <v/>
      </c>
      <c r="R33" s="22" t="str">
        <f>IF(L33="","None",L33)</f>
        <v>None</v>
      </c>
    </row>
    <row r="34" spans="1:18" x14ac:dyDescent="0.2">
      <c r="A34" s="22" t="s">
        <v>245</v>
      </c>
      <c r="B34" s="23">
        <v>45047</v>
      </c>
      <c r="C34" s="22" t="s">
        <v>246</v>
      </c>
      <c r="D34" s="22" t="s">
        <v>64</v>
      </c>
      <c r="E34" s="22">
        <v>5</v>
      </c>
      <c r="F34" s="24">
        <v>536.72</v>
      </c>
      <c r="G34" s="22" t="s">
        <v>247</v>
      </c>
      <c r="H34" s="22" t="s">
        <v>75</v>
      </c>
      <c r="I34" s="22" t="s">
        <v>69</v>
      </c>
      <c r="J34" s="22" t="s">
        <v>248</v>
      </c>
      <c r="K34" s="22">
        <v>10</v>
      </c>
      <c r="L34" s="22"/>
      <c r="M34" s="22" t="s">
        <v>86</v>
      </c>
      <c r="N34" s="24">
        <v>2683.6</v>
      </c>
      <c r="O34" s="22">
        <f>YEAR(B34)</f>
        <v>2023</v>
      </c>
      <c r="P34" s="25">
        <f>DATE(YEAR(B34),MONTH(B34),1)</f>
        <v>45047</v>
      </c>
      <c r="Q34" s="22" t="str">
        <f>IF(N34&gt;Summary!$C$17,"Outlier","")</f>
        <v/>
      </c>
      <c r="R34" s="22" t="str">
        <f>IF(L34="","None",L34)</f>
        <v>None</v>
      </c>
    </row>
    <row r="35" spans="1:18" x14ac:dyDescent="0.2">
      <c r="A35" s="22" t="s">
        <v>249</v>
      </c>
      <c r="B35" s="23">
        <v>45082</v>
      </c>
      <c r="C35" s="22" t="s">
        <v>250</v>
      </c>
      <c r="D35" s="22" t="s">
        <v>61</v>
      </c>
      <c r="E35" s="22">
        <v>1</v>
      </c>
      <c r="F35" s="24">
        <v>162.77000000000001</v>
      </c>
      <c r="G35" s="22" t="s">
        <v>251</v>
      </c>
      <c r="H35" s="22" t="s">
        <v>79</v>
      </c>
      <c r="I35" s="22" t="s">
        <v>73</v>
      </c>
      <c r="J35" s="22" t="s">
        <v>252</v>
      </c>
      <c r="K35" s="22">
        <v>4</v>
      </c>
      <c r="L35" s="22" t="s">
        <v>84</v>
      </c>
      <c r="M35" s="22" t="s">
        <v>87</v>
      </c>
      <c r="N35" s="24">
        <v>162.77000000000001</v>
      </c>
      <c r="O35" s="22">
        <f>YEAR(B35)</f>
        <v>2023</v>
      </c>
      <c r="P35" s="25">
        <f>DATE(YEAR(B35),MONTH(B35),1)</f>
        <v>45078</v>
      </c>
      <c r="Q35" s="22" t="str">
        <f>IF(N35&gt;Summary!$C$17,"Outlier","")</f>
        <v/>
      </c>
      <c r="R35" s="22" t="str">
        <f>IF(L35="","None",L35)</f>
        <v>WINTER15</v>
      </c>
    </row>
    <row r="36" spans="1:18" x14ac:dyDescent="0.2">
      <c r="A36" s="22" t="s">
        <v>253</v>
      </c>
      <c r="B36" s="23">
        <v>44933</v>
      </c>
      <c r="C36" s="22" t="s">
        <v>254</v>
      </c>
      <c r="D36" s="22" t="s">
        <v>61</v>
      </c>
      <c r="E36" s="22">
        <v>4</v>
      </c>
      <c r="F36" s="24">
        <v>576.52</v>
      </c>
      <c r="G36" s="22" t="s">
        <v>255</v>
      </c>
      <c r="H36" s="22" t="s">
        <v>76</v>
      </c>
      <c r="I36" s="22" t="s">
        <v>71</v>
      </c>
      <c r="J36" s="22" t="s">
        <v>256</v>
      </c>
      <c r="K36" s="22">
        <v>5</v>
      </c>
      <c r="L36" s="22" t="s">
        <v>84</v>
      </c>
      <c r="M36" s="22" t="s">
        <v>87</v>
      </c>
      <c r="N36" s="24">
        <v>2306.08</v>
      </c>
      <c r="O36" s="22">
        <f>YEAR(B36)</f>
        <v>2023</v>
      </c>
      <c r="P36" s="25">
        <f>DATE(YEAR(B36),MONTH(B36),1)</f>
        <v>44927</v>
      </c>
      <c r="Q36" s="22" t="str">
        <f>IF(N36&gt;Summary!$C$17,"Outlier","")</f>
        <v/>
      </c>
      <c r="R36" s="22" t="str">
        <f>IF(L36="","None",L36)</f>
        <v>WINTER15</v>
      </c>
    </row>
    <row r="37" spans="1:18" x14ac:dyDescent="0.2">
      <c r="A37" s="22" t="s">
        <v>257</v>
      </c>
      <c r="B37" s="23">
        <v>45633</v>
      </c>
      <c r="C37" s="22" t="s">
        <v>258</v>
      </c>
      <c r="D37" s="22" t="s">
        <v>65</v>
      </c>
      <c r="E37" s="22">
        <v>2</v>
      </c>
      <c r="F37" s="24">
        <v>465.15</v>
      </c>
      <c r="G37" s="22" t="s">
        <v>259</v>
      </c>
      <c r="H37" s="22" t="s">
        <v>79</v>
      </c>
      <c r="I37" s="22" t="s">
        <v>70</v>
      </c>
      <c r="J37" s="22" t="s">
        <v>260</v>
      </c>
      <c r="K37" s="22">
        <v>2</v>
      </c>
      <c r="L37" s="22" t="s">
        <v>83</v>
      </c>
      <c r="M37" s="22" t="s">
        <v>87</v>
      </c>
      <c r="N37" s="24">
        <v>930.3</v>
      </c>
      <c r="O37" s="22">
        <f>YEAR(B37)</f>
        <v>2024</v>
      </c>
      <c r="P37" s="25">
        <f>DATE(YEAR(B37),MONTH(B37),1)</f>
        <v>45627</v>
      </c>
      <c r="Q37" s="22" t="str">
        <f>IF(N37&gt;Summary!$C$17,"Outlier","")</f>
        <v/>
      </c>
      <c r="R37" s="22" t="str">
        <f>IF(L37="","None",L37)</f>
        <v>SAVE10</v>
      </c>
    </row>
    <row r="38" spans="1:18" x14ac:dyDescent="0.2">
      <c r="A38" s="22" t="s">
        <v>261</v>
      </c>
      <c r="B38" s="23">
        <v>45785</v>
      </c>
      <c r="C38" s="22" t="s">
        <v>262</v>
      </c>
      <c r="D38" s="22" t="s">
        <v>63</v>
      </c>
      <c r="E38" s="22">
        <v>2</v>
      </c>
      <c r="F38" s="24">
        <v>534.42999999999995</v>
      </c>
      <c r="G38" s="22" t="s">
        <v>263</v>
      </c>
      <c r="H38" s="22" t="s">
        <v>77</v>
      </c>
      <c r="I38" s="22" t="s">
        <v>71</v>
      </c>
      <c r="J38" s="22" t="s">
        <v>264</v>
      </c>
      <c r="K38" s="22">
        <v>5</v>
      </c>
      <c r="L38" s="22"/>
      <c r="M38" s="22" t="s">
        <v>87</v>
      </c>
      <c r="N38" s="24">
        <v>1068.8599999999999</v>
      </c>
      <c r="O38" s="22">
        <f>YEAR(B38)</f>
        <v>2025</v>
      </c>
      <c r="P38" s="25">
        <f>DATE(YEAR(B38),MONTH(B38),1)</f>
        <v>45778</v>
      </c>
      <c r="Q38" s="22" t="str">
        <f>IF(N38&gt;Summary!$C$17,"Outlier","")</f>
        <v/>
      </c>
      <c r="R38" s="22" t="str">
        <f>IF(L38="","None",L38)</f>
        <v>None</v>
      </c>
    </row>
    <row r="39" spans="1:18" x14ac:dyDescent="0.2">
      <c r="A39" s="22" t="s">
        <v>265</v>
      </c>
      <c r="B39" s="23">
        <v>45579</v>
      </c>
      <c r="C39" s="22" t="s">
        <v>266</v>
      </c>
      <c r="D39" s="22" t="s">
        <v>63</v>
      </c>
      <c r="E39" s="22">
        <v>2</v>
      </c>
      <c r="F39" s="24">
        <v>76.739999999999995</v>
      </c>
      <c r="G39" s="22" t="s">
        <v>267</v>
      </c>
      <c r="H39" s="22" t="s">
        <v>75</v>
      </c>
      <c r="I39" s="22" t="s">
        <v>72</v>
      </c>
      <c r="J39" s="22" t="s">
        <v>268</v>
      </c>
      <c r="K39" s="22">
        <v>7</v>
      </c>
      <c r="L39" s="22" t="s">
        <v>83</v>
      </c>
      <c r="M39" s="22" t="s">
        <v>89</v>
      </c>
      <c r="N39" s="24">
        <v>153.47999999999999</v>
      </c>
      <c r="O39" s="22">
        <f>YEAR(B39)</f>
        <v>2024</v>
      </c>
      <c r="P39" s="25">
        <f>DATE(YEAR(B39),MONTH(B39),1)</f>
        <v>45566</v>
      </c>
      <c r="Q39" s="22" t="str">
        <f>IF(N39&gt;Summary!$C$17,"Outlier","")</f>
        <v/>
      </c>
      <c r="R39" s="22" t="str">
        <f>IF(L39="","None",L39)</f>
        <v>SAVE10</v>
      </c>
    </row>
    <row r="40" spans="1:18" x14ac:dyDescent="0.2">
      <c r="A40" s="22" t="s">
        <v>269</v>
      </c>
      <c r="B40" s="23">
        <v>45645</v>
      </c>
      <c r="C40" s="22" t="s">
        <v>270</v>
      </c>
      <c r="D40" s="22" t="s">
        <v>63</v>
      </c>
      <c r="E40" s="22">
        <v>1</v>
      </c>
      <c r="F40" s="24">
        <v>245.89</v>
      </c>
      <c r="G40" s="22" t="s">
        <v>271</v>
      </c>
      <c r="H40" s="22" t="s">
        <v>77</v>
      </c>
      <c r="I40" s="22" t="s">
        <v>69</v>
      </c>
      <c r="J40" s="22" t="s">
        <v>272</v>
      </c>
      <c r="K40" s="22">
        <v>3</v>
      </c>
      <c r="L40" s="22" t="s">
        <v>83</v>
      </c>
      <c r="M40" s="22" t="s">
        <v>88</v>
      </c>
      <c r="N40" s="24">
        <v>245.89</v>
      </c>
      <c r="O40" s="22">
        <f>YEAR(B40)</f>
        <v>2024</v>
      </c>
      <c r="P40" s="25">
        <f>DATE(YEAR(B40),MONTH(B40),1)</f>
        <v>45627</v>
      </c>
      <c r="Q40" s="22" t="str">
        <f>IF(N40&gt;Summary!$C$17,"Outlier","")</f>
        <v/>
      </c>
      <c r="R40" s="22" t="str">
        <f>IF(L40="","None",L40)</f>
        <v>SAVE10</v>
      </c>
    </row>
    <row r="41" spans="1:18" x14ac:dyDescent="0.2">
      <c r="A41" s="22" t="s">
        <v>273</v>
      </c>
      <c r="B41" s="23">
        <v>45715</v>
      </c>
      <c r="C41" s="22" t="s">
        <v>274</v>
      </c>
      <c r="D41" s="22" t="s">
        <v>62</v>
      </c>
      <c r="E41" s="22">
        <v>3</v>
      </c>
      <c r="F41" s="24">
        <v>256.45999999999998</v>
      </c>
      <c r="G41" s="22" t="s">
        <v>275</v>
      </c>
      <c r="H41" s="22" t="s">
        <v>76</v>
      </c>
      <c r="I41" s="22" t="s">
        <v>69</v>
      </c>
      <c r="J41" s="22" t="s">
        <v>276</v>
      </c>
      <c r="K41" s="22">
        <v>4</v>
      </c>
      <c r="L41" s="22" t="s">
        <v>83</v>
      </c>
      <c r="M41" s="22" t="s">
        <v>90</v>
      </c>
      <c r="N41" s="24">
        <v>769.38</v>
      </c>
      <c r="O41" s="22">
        <f>YEAR(B41)</f>
        <v>2025</v>
      </c>
      <c r="P41" s="25">
        <f>DATE(YEAR(B41),MONTH(B41),1)</f>
        <v>45689</v>
      </c>
      <c r="Q41" s="22" t="str">
        <f>IF(N41&gt;Summary!$C$17,"Outlier","")</f>
        <v/>
      </c>
      <c r="R41" s="22" t="str">
        <f>IF(L41="","None",L41)</f>
        <v>SAVE10</v>
      </c>
    </row>
    <row r="42" spans="1:18" x14ac:dyDescent="0.2">
      <c r="A42" s="22" t="s">
        <v>277</v>
      </c>
      <c r="B42" s="23">
        <v>45158</v>
      </c>
      <c r="C42" s="22" t="s">
        <v>278</v>
      </c>
      <c r="D42" s="22" t="s">
        <v>66</v>
      </c>
      <c r="E42" s="22">
        <v>2</v>
      </c>
      <c r="F42" s="24">
        <v>344.02</v>
      </c>
      <c r="G42" s="22" t="s">
        <v>279</v>
      </c>
      <c r="H42" s="22" t="s">
        <v>79</v>
      </c>
      <c r="I42" s="22" t="s">
        <v>69</v>
      </c>
      <c r="J42" s="22" t="s">
        <v>280</v>
      </c>
      <c r="K42" s="22">
        <v>4</v>
      </c>
      <c r="L42" s="22" t="s">
        <v>82</v>
      </c>
      <c r="M42" s="22" t="s">
        <v>89</v>
      </c>
      <c r="N42" s="24">
        <v>688.04</v>
      </c>
      <c r="O42" s="22">
        <f>YEAR(B42)</f>
        <v>2023</v>
      </c>
      <c r="P42" s="25">
        <f>DATE(YEAR(B42),MONTH(B42),1)</f>
        <v>45139</v>
      </c>
      <c r="Q42" s="22" t="str">
        <f>IF(N42&gt;Summary!$C$17,"Outlier","")</f>
        <v/>
      </c>
      <c r="R42" s="22" t="str">
        <f>IF(L42="","None",L42)</f>
        <v>FREESHIP</v>
      </c>
    </row>
    <row r="43" spans="1:18" x14ac:dyDescent="0.2">
      <c r="A43" s="22" t="s">
        <v>281</v>
      </c>
      <c r="B43" s="23">
        <v>45265</v>
      </c>
      <c r="C43" s="22" t="s">
        <v>282</v>
      </c>
      <c r="D43" s="22" t="s">
        <v>65</v>
      </c>
      <c r="E43" s="22">
        <v>3</v>
      </c>
      <c r="F43" s="24">
        <v>611.45000000000005</v>
      </c>
      <c r="G43" s="22" t="s">
        <v>283</v>
      </c>
      <c r="H43" s="22" t="s">
        <v>78</v>
      </c>
      <c r="I43" s="22" t="s">
        <v>71</v>
      </c>
      <c r="J43" s="22" t="s">
        <v>284</v>
      </c>
      <c r="K43" s="22">
        <v>4</v>
      </c>
      <c r="L43" s="22" t="s">
        <v>82</v>
      </c>
      <c r="M43" s="22" t="s">
        <v>89</v>
      </c>
      <c r="N43" s="24">
        <v>1834.35</v>
      </c>
      <c r="O43" s="22">
        <f>YEAR(B43)</f>
        <v>2023</v>
      </c>
      <c r="P43" s="25">
        <f>DATE(YEAR(B43),MONTH(B43),1)</f>
        <v>45261</v>
      </c>
      <c r="Q43" s="22" t="str">
        <f>IF(N43&gt;Summary!$C$17,"Outlier","")</f>
        <v/>
      </c>
      <c r="R43" s="22" t="str">
        <f>IF(L43="","None",L43)</f>
        <v>FREESHIP</v>
      </c>
    </row>
    <row r="44" spans="1:18" x14ac:dyDescent="0.2">
      <c r="A44" s="22" t="s">
        <v>285</v>
      </c>
      <c r="B44" s="23">
        <v>45418</v>
      </c>
      <c r="C44" s="22" t="s">
        <v>286</v>
      </c>
      <c r="D44" s="22" t="s">
        <v>62</v>
      </c>
      <c r="E44" s="22">
        <v>2</v>
      </c>
      <c r="F44" s="24">
        <v>151.66</v>
      </c>
      <c r="G44" s="22" t="s">
        <v>175</v>
      </c>
      <c r="H44" s="22" t="s">
        <v>75</v>
      </c>
      <c r="I44" s="22" t="s">
        <v>73</v>
      </c>
      <c r="J44" s="22" t="s">
        <v>287</v>
      </c>
      <c r="K44" s="22">
        <v>6</v>
      </c>
      <c r="L44" s="22"/>
      <c r="M44" s="22" t="s">
        <v>89</v>
      </c>
      <c r="N44" s="24">
        <v>303.32</v>
      </c>
      <c r="O44" s="22">
        <f>YEAR(B44)</f>
        <v>2024</v>
      </c>
      <c r="P44" s="25">
        <f>DATE(YEAR(B44),MONTH(B44),1)</f>
        <v>45413</v>
      </c>
      <c r="Q44" s="22" t="str">
        <f>IF(N44&gt;Summary!$C$17,"Outlier","")</f>
        <v/>
      </c>
      <c r="R44" s="22" t="str">
        <f>IF(L44="","None",L44)</f>
        <v>None</v>
      </c>
    </row>
    <row r="45" spans="1:18" x14ac:dyDescent="0.2">
      <c r="A45" s="22" t="s">
        <v>288</v>
      </c>
      <c r="B45" s="23">
        <v>45274</v>
      </c>
      <c r="C45" s="22" t="s">
        <v>289</v>
      </c>
      <c r="D45" s="22" t="s">
        <v>61</v>
      </c>
      <c r="E45" s="22">
        <v>3</v>
      </c>
      <c r="F45" s="24">
        <v>499.21</v>
      </c>
      <c r="G45" s="22" t="s">
        <v>290</v>
      </c>
      <c r="H45" s="22" t="s">
        <v>79</v>
      </c>
      <c r="I45" s="22" t="s">
        <v>73</v>
      </c>
      <c r="J45" s="22" t="s">
        <v>291</v>
      </c>
      <c r="K45" s="22">
        <v>8</v>
      </c>
      <c r="L45" s="22"/>
      <c r="M45" s="22" t="s">
        <v>89</v>
      </c>
      <c r="N45" s="24">
        <v>1497.63</v>
      </c>
      <c r="O45" s="22">
        <f>YEAR(B45)</f>
        <v>2023</v>
      </c>
      <c r="P45" s="25">
        <f>DATE(YEAR(B45),MONTH(B45),1)</f>
        <v>45261</v>
      </c>
      <c r="Q45" s="22" t="str">
        <f>IF(N45&gt;Summary!$C$17,"Outlier","")</f>
        <v/>
      </c>
      <c r="R45" s="22" t="str">
        <f>IF(L45="","None",L45)</f>
        <v>None</v>
      </c>
    </row>
    <row r="46" spans="1:18" x14ac:dyDescent="0.2">
      <c r="A46" s="22" t="s">
        <v>292</v>
      </c>
      <c r="B46" s="23">
        <v>45768</v>
      </c>
      <c r="C46" s="22" t="s">
        <v>293</v>
      </c>
      <c r="D46" s="22" t="s">
        <v>67</v>
      </c>
      <c r="E46" s="22">
        <v>2</v>
      </c>
      <c r="F46" s="24">
        <v>550.17999999999995</v>
      </c>
      <c r="G46" s="22" t="s">
        <v>243</v>
      </c>
      <c r="H46" s="22" t="s">
        <v>78</v>
      </c>
      <c r="I46" s="22" t="s">
        <v>72</v>
      </c>
      <c r="J46" s="22" t="s">
        <v>294</v>
      </c>
      <c r="K46" s="22">
        <v>3</v>
      </c>
      <c r="L46" s="22" t="s">
        <v>82</v>
      </c>
      <c r="M46" s="22" t="s">
        <v>90</v>
      </c>
      <c r="N46" s="24">
        <v>1100.3599999999999</v>
      </c>
      <c r="O46" s="22">
        <f>YEAR(B46)</f>
        <v>2025</v>
      </c>
      <c r="P46" s="25">
        <f>DATE(YEAR(B46),MONTH(B46),1)</f>
        <v>45748</v>
      </c>
      <c r="Q46" s="22" t="str">
        <f>IF(N46&gt;Summary!$C$17,"Outlier","")</f>
        <v/>
      </c>
      <c r="R46" s="22" t="str">
        <f>IF(L46="","None",L46)</f>
        <v>FREESHIP</v>
      </c>
    </row>
    <row r="47" spans="1:18" x14ac:dyDescent="0.2">
      <c r="A47" s="22" t="s">
        <v>295</v>
      </c>
      <c r="B47" s="23">
        <v>45332</v>
      </c>
      <c r="C47" s="22" t="s">
        <v>296</v>
      </c>
      <c r="D47" s="22" t="s">
        <v>61</v>
      </c>
      <c r="E47" s="22">
        <v>1</v>
      </c>
      <c r="F47" s="24">
        <v>317.25</v>
      </c>
      <c r="G47" s="22" t="s">
        <v>297</v>
      </c>
      <c r="H47" s="22" t="s">
        <v>77</v>
      </c>
      <c r="I47" s="22" t="s">
        <v>72</v>
      </c>
      <c r="J47" s="22" t="s">
        <v>298</v>
      </c>
      <c r="K47" s="22">
        <v>1</v>
      </c>
      <c r="L47" s="22" t="s">
        <v>83</v>
      </c>
      <c r="M47" s="22" t="s">
        <v>87</v>
      </c>
      <c r="N47" s="24">
        <v>317.25</v>
      </c>
      <c r="O47" s="22">
        <f>YEAR(B47)</f>
        <v>2024</v>
      </c>
      <c r="P47" s="25">
        <f>DATE(YEAR(B47),MONTH(B47),1)</f>
        <v>45323</v>
      </c>
      <c r="Q47" s="22" t="str">
        <f>IF(N47&gt;Summary!$C$17,"Outlier","")</f>
        <v/>
      </c>
      <c r="R47" s="22" t="str">
        <f>IF(L47="","None",L47)</f>
        <v>SAVE10</v>
      </c>
    </row>
    <row r="48" spans="1:18" x14ac:dyDescent="0.2">
      <c r="A48" s="22" t="s">
        <v>299</v>
      </c>
      <c r="B48" s="23">
        <v>45469</v>
      </c>
      <c r="C48" s="22" t="s">
        <v>300</v>
      </c>
      <c r="D48" s="22" t="s">
        <v>65</v>
      </c>
      <c r="E48" s="22">
        <v>4</v>
      </c>
      <c r="F48" s="24">
        <v>550.14</v>
      </c>
      <c r="G48" s="22" t="s">
        <v>301</v>
      </c>
      <c r="H48" s="22" t="s">
        <v>77</v>
      </c>
      <c r="I48" s="22" t="s">
        <v>71</v>
      </c>
      <c r="J48" s="22" t="s">
        <v>302</v>
      </c>
      <c r="K48" s="22">
        <v>4</v>
      </c>
      <c r="L48" s="22" t="s">
        <v>82</v>
      </c>
      <c r="M48" s="22" t="s">
        <v>89</v>
      </c>
      <c r="N48" s="24">
        <v>2200.56</v>
      </c>
      <c r="O48" s="22">
        <f>YEAR(B48)</f>
        <v>2024</v>
      </c>
      <c r="P48" s="25">
        <f>DATE(YEAR(B48),MONTH(B48),1)</f>
        <v>45444</v>
      </c>
      <c r="Q48" s="22" t="str">
        <f>IF(N48&gt;Summary!$C$17,"Outlier","")</f>
        <v/>
      </c>
      <c r="R48" s="22" t="str">
        <f>IF(L48="","None",L48)</f>
        <v>FREESHIP</v>
      </c>
    </row>
    <row r="49" spans="1:18" x14ac:dyDescent="0.2">
      <c r="A49" s="22" t="s">
        <v>303</v>
      </c>
      <c r="B49" s="23">
        <v>45126</v>
      </c>
      <c r="C49" s="22" t="s">
        <v>304</v>
      </c>
      <c r="D49" s="22" t="s">
        <v>66</v>
      </c>
      <c r="E49" s="22">
        <v>2</v>
      </c>
      <c r="F49" s="24">
        <v>209.94</v>
      </c>
      <c r="G49" s="22" t="s">
        <v>305</v>
      </c>
      <c r="H49" s="22" t="s">
        <v>76</v>
      </c>
      <c r="I49" s="22" t="s">
        <v>72</v>
      </c>
      <c r="J49" s="22" t="s">
        <v>306</v>
      </c>
      <c r="K49" s="22">
        <v>3</v>
      </c>
      <c r="L49" s="22" t="s">
        <v>82</v>
      </c>
      <c r="M49" s="22" t="s">
        <v>86</v>
      </c>
      <c r="N49" s="24">
        <v>419.88</v>
      </c>
      <c r="O49" s="22">
        <f>YEAR(B49)</f>
        <v>2023</v>
      </c>
      <c r="P49" s="25">
        <f>DATE(YEAR(B49),MONTH(B49),1)</f>
        <v>45108</v>
      </c>
      <c r="Q49" s="22" t="str">
        <f>IF(N49&gt;Summary!$C$17,"Outlier","")</f>
        <v/>
      </c>
      <c r="R49" s="22" t="str">
        <f>IF(L49="","None",L49)</f>
        <v>FREESHIP</v>
      </c>
    </row>
    <row r="50" spans="1:18" x14ac:dyDescent="0.2">
      <c r="A50" s="22" t="s">
        <v>307</v>
      </c>
      <c r="B50" s="23">
        <v>45164</v>
      </c>
      <c r="C50" s="22" t="s">
        <v>308</v>
      </c>
      <c r="D50" s="22" t="s">
        <v>65</v>
      </c>
      <c r="E50" s="22">
        <v>2</v>
      </c>
      <c r="F50" s="24">
        <v>80.77</v>
      </c>
      <c r="G50" s="22" t="s">
        <v>309</v>
      </c>
      <c r="H50" s="22" t="s">
        <v>77</v>
      </c>
      <c r="I50" s="22" t="s">
        <v>70</v>
      </c>
      <c r="J50" s="22" t="s">
        <v>310</v>
      </c>
      <c r="K50" s="22">
        <v>4</v>
      </c>
      <c r="L50" s="22"/>
      <c r="M50" s="22" t="s">
        <v>88</v>
      </c>
      <c r="N50" s="24">
        <v>161.54</v>
      </c>
      <c r="O50" s="22">
        <f>YEAR(B50)</f>
        <v>2023</v>
      </c>
      <c r="P50" s="25">
        <f>DATE(YEAR(B50),MONTH(B50),1)</f>
        <v>45139</v>
      </c>
      <c r="Q50" s="22" t="str">
        <f>IF(N50&gt;Summary!$C$17,"Outlier","")</f>
        <v/>
      </c>
      <c r="R50" s="22" t="str">
        <f>IF(L50="","None",L50)</f>
        <v>None</v>
      </c>
    </row>
    <row r="51" spans="1:18" x14ac:dyDescent="0.2">
      <c r="A51" s="22" t="s">
        <v>311</v>
      </c>
      <c r="B51" s="23">
        <v>45206</v>
      </c>
      <c r="C51" s="22" t="s">
        <v>312</v>
      </c>
      <c r="D51" s="22" t="s">
        <v>62</v>
      </c>
      <c r="E51" s="22">
        <v>1</v>
      </c>
      <c r="F51" s="24">
        <v>30.44</v>
      </c>
      <c r="G51" s="22" t="s">
        <v>207</v>
      </c>
      <c r="H51" s="22" t="s">
        <v>76</v>
      </c>
      <c r="I51" s="22" t="s">
        <v>70</v>
      </c>
      <c r="J51" s="22" t="s">
        <v>313</v>
      </c>
      <c r="K51" s="22">
        <v>1</v>
      </c>
      <c r="L51" s="22" t="s">
        <v>83</v>
      </c>
      <c r="M51" s="22" t="s">
        <v>86</v>
      </c>
      <c r="N51" s="24">
        <v>30.44</v>
      </c>
      <c r="O51" s="22">
        <f>YEAR(B51)</f>
        <v>2023</v>
      </c>
      <c r="P51" s="25">
        <f>DATE(YEAR(B51),MONTH(B51),1)</f>
        <v>45200</v>
      </c>
      <c r="Q51" s="22" t="str">
        <f>IF(N51&gt;Summary!$C$17,"Outlier","")</f>
        <v/>
      </c>
      <c r="R51" s="22" t="str">
        <f>IF(L51="","None",L51)</f>
        <v>SAVE10</v>
      </c>
    </row>
    <row r="52" spans="1:18" x14ac:dyDescent="0.2">
      <c r="A52" s="22" t="s">
        <v>314</v>
      </c>
      <c r="B52" s="23">
        <v>45138</v>
      </c>
      <c r="C52" s="22" t="s">
        <v>315</v>
      </c>
      <c r="D52" s="22" t="s">
        <v>64</v>
      </c>
      <c r="E52" s="22">
        <v>1</v>
      </c>
      <c r="F52" s="24">
        <v>179.22</v>
      </c>
      <c r="G52" s="22" t="s">
        <v>316</v>
      </c>
      <c r="H52" s="22" t="s">
        <v>79</v>
      </c>
      <c r="I52" s="22" t="s">
        <v>73</v>
      </c>
      <c r="J52" s="22" t="s">
        <v>317</v>
      </c>
      <c r="K52" s="22">
        <v>6</v>
      </c>
      <c r="L52" s="22" t="s">
        <v>82</v>
      </c>
      <c r="M52" s="22" t="s">
        <v>89</v>
      </c>
      <c r="N52" s="24">
        <v>179.22</v>
      </c>
      <c r="O52" s="22">
        <f>YEAR(B52)</f>
        <v>2023</v>
      </c>
      <c r="P52" s="25">
        <f>DATE(YEAR(B52),MONTH(B52),1)</f>
        <v>45108</v>
      </c>
      <c r="Q52" s="22" t="str">
        <f>IF(N52&gt;Summary!$C$17,"Outlier","")</f>
        <v/>
      </c>
      <c r="R52" s="22" t="str">
        <f>IF(L52="","None",L52)</f>
        <v>FREESHIP</v>
      </c>
    </row>
    <row r="53" spans="1:18" x14ac:dyDescent="0.2">
      <c r="A53" s="22" t="s">
        <v>318</v>
      </c>
      <c r="B53" s="23">
        <v>45656</v>
      </c>
      <c r="C53" s="22" t="s">
        <v>319</v>
      </c>
      <c r="D53" s="22" t="s">
        <v>64</v>
      </c>
      <c r="E53" s="22">
        <v>1</v>
      </c>
      <c r="F53" s="24">
        <v>388.33</v>
      </c>
      <c r="G53" s="22" t="s">
        <v>320</v>
      </c>
      <c r="H53" s="22" t="s">
        <v>75</v>
      </c>
      <c r="I53" s="22" t="s">
        <v>72</v>
      </c>
      <c r="J53" s="22" t="s">
        <v>321</v>
      </c>
      <c r="K53" s="22">
        <v>2</v>
      </c>
      <c r="L53" s="22" t="s">
        <v>83</v>
      </c>
      <c r="M53" s="22" t="s">
        <v>87</v>
      </c>
      <c r="N53" s="24">
        <v>388.33</v>
      </c>
      <c r="O53" s="22">
        <f>YEAR(B53)</f>
        <v>2024</v>
      </c>
      <c r="P53" s="25">
        <f>DATE(YEAR(B53),MONTH(B53),1)</f>
        <v>45627</v>
      </c>
      <c r="Q53" s="22" t="str">
        <f>IF(N53&gt;Summary!$C$17,"Outlier","")</f>
        <v/>
      </c>
      <c r="R53" s="22" t="str">
        <f>IF(L53="","None",L53)</f>
        <v>SAVE10</v>
      </c>
    </row>
    <row r="54" spans="1:18" x14ac:dyDescent="0.2">
      <c r="A54" s="22" t="s">
        <v>322</v>
      </c>
      <c r="B54" s="23">
        <v>45543</v>
      </c>
      <c r="C54" s="22" t="s">
        <v>323</v>
      </c>
      <c r="D54" s="22" t="s">
        <v>64</v>
      </c>
      <c r="E54" s="22">
        <v>1</v>
      </c>
      <c r="F54" s="24">
        <v>586.44000000000005</v>
      </c>
      <c r="G54" s="22" t="s">
        <v>324</v>
      </c>
      <c r="H54" s="22" t="s">
        <v>79</v>
      </c>
      <c r="I54" s="22" t="s">
        <v>72</v>
      </c>
      <c r="J54" s="22" t="s">
        <v>325</v>
      </c>
      <c r="K54" s="22">
        <v>5</v>
      </c>
      <c r="L54" s="22" t="s">
        <v>83</v>
      </c>
      <c r="M54" s="22" t="s">
        <v>87</v>
      </c>
      <c r="N54" s="24">
        <v>586.44000000000005</v>
      </c>
      <c r="O54" s="22">
        <f>YEAR(B54)</f>
        <v>2024</v>
      </c>
      <c r="P54" s="25">
        <f>DATE(YEAR(B54),MONTH(B54),1)</f>
        <v>45536</v>
      </c>
      <c r="Q54" s="22" t="str">
        <f>IF(N54&gt;Summary!$C$17,"Outlier","")</f>
        <v/>
      </c>
      <c r="R54" s="22" t="str">
        <f>IF(L54="","None",L54)</f>
        <v>SAVE10</v>
      </c>
    </row>
    <row r="55" spans="1:18" x14ac:dyDescent="0.2">
      <c r="A55" s="22" t="s">
        <v>326</v>
      </c>
      <c r="B55" s="23">
        <v>45430</v>
      </c>
      <c r="C55" s="22" t="s">
        <v>327</v>
      </c>
      <c r="D55" s="22" t="s">
        <v>67</v>
      </c>
      <c r="E55" s="22">
        <v>4</v>
      </c>
      <c r="F55" s="24">
        <v>488.78</v>
      </c>
      <c r="G55" s="22" t="s">
        <v>127</v>
      </c>
      <c r="H55" s="22" t="s">
        <v>79</v>
      </c>
      <c r="I55" s="22" t="s">
        <v>72</v>
      </c>
      <c r="J55" s="22" t="s">
        <v>328</v>
      </c>
      <c r="K55" s="22">
        <v>5</v>
      </c>
      <c r="L55" s="22" t="s">
        <v>82</v>
      </c>
      <c r="M55" s="22" t="s">
        <v>88</v>
      </c>
      <c r="N55" s="24">
        <v>1955.12</v>
      </c>
      <c r="O55" s="22">
        <f>YEAR(B55)</f>
        <v>2024</v>
      </c>
      <c r="P55" s="25">
        <f>DATE(YEAR(B55),MONTH(B55),1)</f>
        <v>45413</v>
      </c>
      <c r="Q55" s="22" t="str">
        <f>IF(N55&gt;Summary!$C$17,"Outlier","")</f>
        <v/>
      </c>
      <c r="R55" s="22" t="str">
        <f>IF(L55="","None",L55)</f>
        <v>FREESHIP</v>
      </c>
    </row>
    <row r="56" spans="1:18" x14ac:dyDescent="0.2">
      <c r="A56" s="22" t="s">
        <v>329</v>
      </c>
      <c r="B56" s="23">
        <v>45743</v>
      </c>
      <c r="C56" s="22" t="s">
        <v>330</v>
      </c>
      <c r="D56" s="22" t="s">
        <v>61</v>
      </c>
      <c r="E56" s="22">
        <v>1</v>
      </c>
      <c r="F56" s="24">
        <v>280.25</v>
      </c>
      <c r="G56" s="22" t="s">
        <v>331</v>
      </c>
      <c r="H56" s="22" t="s">
        <v>79</v>
      </c>
      <c r="I56" s="22" t="s">
        <v>71</v>
      </c>
      <c r="J56" s="22" t="s">
        <v>332</v>
      </c>
      <c r="K56" s="22">
        <v>5</v>
      </c>
      <c r="L56" s="22" t="s">
        <v>84</v>
      </c>
      <c r="M56" s="22" t="s">
        <v>86</v>
      </c>
      <c r="N56" s="24">
        <v>280.25</v>
      </c>
      <c r="O56" s="22">
        <f>YEAR(B56)</f>
        <v>2025</v>
      </c>
      <c r="P56" s="25">
        <f>DATE(YEAR(B56),MONTH(B56),1)</f>
        <v>45717</v>
      </c>
      <c r="Q56" s="22" t="str">
        <f>IF(N56&gt;Summary!$C$17,"Outlier","")</f>
        <v/>
      </c>
      <c r="R56" s="22" t="str">
        <f>IF(L56="","None",L56)</f>
        <v>WINTER15</v>
      </c>
    </row>
    <row r="57" spans="1:18" x14ac:dyDescent="0.2">
      <c r="A57" s="22" t="s">
        <v>333</v>
      </c>
      <c r="B57" s="23">
        <v>45832</v>
      </c>
      <c r="C57" s="22" t="s">
        <v>334</v>
      </c>
      <c r="D57" s="22" t="s">
        <v>62</v>
      </c>
      <c r="E57" s="22">
        <v>3</v>
      </c>
      <c r="F57" s="24">
        <v>344.4</v>
      </c>
      <c r="G57" s="22" t="s">
        <v>335</v>
      </c>
      <c r="H57" s="22" t="s">
        <v>79</v>
      </c>
      <c r="I57" s="22" t="s">
        <v>73</v>
      </c>
      <c r="J57" s="22" t="s">
        <v>336</v>
      </c>
      <c r="K57" s="22">
        <v>3</v>
      </c>
      <c r="L57" s="22"/>
      <c r="M57" s="22" t="s">
        <v>87</v>
      </c>
      <c r="N57" s="24">
        <v>1033.2</v>
      </c>
      <c r="O57" s="22">
        <f>YEAR(B57)</f>
        <v>2025</v>
      </c>
      <c r="P57" s="25">
        <f>DATE(YEAR(B57),MONTH(B57),1)</f>
        <v>45809</v>
      </c>
      <c r="Q57" s="22" t="str">
        <f>IF(N57&gt;Summary!$C$17,"Outlier","")</f>
        <v/>
      </c>
      <c r="R57" s="22" t="str">
        <f>IF(L57="","None",L57)</f>
        <v>None</v>
      </c>
    </row>
    <row r="58" spans="1:18" x14ac:dyDescent="0.2">
      <c r="A58" s="22" t="s">
        <v>337</v>
      </c>
      <c r="B58" s="23">
        <v>45067</v>
      </c>
      <c r="C58" s="22" t="s">
        <v>338</v>
      </c>
      <c r="D58" s="22" t="s">
        <v>64</v>
      </c>
      <c r="E58" s="22">
        <v>3</v>
      </c>
      <c r="F58" s="24">
        <v>479.21</v>
      </c>
      <c r="G58" s="22" t="s">
        <v>339</v>
      </c>
      <c r="H58" s="22" t="s">
        <v>75</v>
      </c>
      <c r="I58" s="22" t="s">
        <v>73</v>
      </c>
      <c r="J58" s="22" t="s">
        <v>340</v>
      </c>
      <c r="K58" s="22">
        <v>5</v>
      </c>
      <c r="L58" s="22" t="s">
        <v>84</v>
      </c>
      <c r="M58" s="22" t="s">
        <v>90</v>
      </c>
      <c r="N58" s="24">
        <v>1437.63</v>
      </c>
      <c r="O58" s="22">
        <f>YEAR(B58)</f>
        <v>2023</v>
      </c>
      <c r="P58" s="25">
        <f>DATE(YEAR(B58),MONTH(B58),1)</f>
        <v>45047</v>
      </c>
      <c r="Q58" s="22" t="str">
        <f>IF(N58&gt;Summary!$C$17,"Outlier","")</f>
        <v/>
      </c>
      <c r="R58" s="22" t="str">
        <f>IF(L58="","None",L58)</f>
        <v>WINTER15</v>
      </c>
    </row>
    <row r="59" spans="1:18" x14ac:dyDescent="0.2">
      <c r="A59" s="22" t="s">
        <v>341</v>
      </c>
      <c r="B59" s="23">
        <v>44948</v>
      </c>
      <c r="C59" s="22" t="s">
        <v>342</v>
      </c>
      <c r="D59" s="22" t="s">
        <v>62</v>
      </c>
      <c r="E59" s="22">
        <v>5</v>
      </c>
      <c r="F59" s="24">
        <v>314.27</v>
      </c>
      <c r="G59" s="22" t="s">
        <v>343</v>
      </c>
      <c r="H59" s="22" t="s">
        <v>75</v>
      </c>
      <c r="I59" s="22" t="s">
        <v>72</v>
      </c>
      <c r="J59" s="22" t="s">
        <v>344</v>
      </c>
      <c r="K59" s="22">
        <v>6</v>
      </c>
      <c r="L59" s="22" t="s">
        <v>83</v>
      </c>
      <c r="M59" s="22" t="s">
        <v>89</v>
      </c>
      <c r="N59" s="24">
        <v>1571.35</v>
      </c>
      <c r="O59" s="22">
        <f>YEAR(B59)</f>
        <v>2023</v>
      </c>
      <c r="P59" s="25">
        <f>DATE(YEAR(B59),MONTH(B59),1)</f>
        <v>44927</v>
      </c>
      <c r="Q59" s="22" t="str">
        <f>IF(N59&gt;Summary!$C$17,"Outlier","")</f>
        <v/>
      </c>
      <c r="R59" s="22" t="str">
        <f>IF(L59="","None",L59)</f>
        <v>SAVE10</v>
      </c>
    </row>
    <row r="60" spans="1:18" x14ac:dyDescent="0.2">
      <c r="A60" s="22" t="s">
        <v>345</v>
      </c>
      <c r="B60" s="23">
        <v>44941</v>
      </c>
      <c r="C60" s="22" t="s">
        <v>346</v>
      </c>
      <c r="D60" s="22" t="s">
        <v>67</v>
      </c>
      <c r="E60" s="22">
        <v>4</v>
      </c>
      <c r="F60" s="24">
        <v>474.69</v>
      </c>
      <c r="G60" s="22" t="s">
        <v>347</v>
      </c>
      <c r="H60" s="22" t="s">
        <v>78</v>
      </c>
      <c r="I60" s="22" t="s">
        <v>73</v>
      </c>
      <c r="J60" s="22" t="s">
        <v>348</v>
      </c>
      <c r="K60" s="22">
        <v>6</v>
      </c>
      <c r="L60" s="22" t="s">
        <v>83</v>
      </c>
      <c r="M60" s="22" t="s">
        <v>88</v>
      </c>
      <c r="N60" s="24">
        <v>1898.76</v>
      </c>
      <c r="O60" s="22">
        <f>YEAR(B60)</f>
        <v>2023</v>
      </c>
      <c r="P60" s="25">
        <f>DATE(YEAR(B60),MONTH(B60),1)</f>
        <v>44927</v>
      </c>
      <c r="Q60" s="22" t="str">
        <f>IF(N60&gt;Summary!$C$17,"Outlier","")</f>
        <v/>
      </c>
      <c r="R60" s="22" t="str">
        <f>IF(L60="","None",L60)</f>
        <v>SAVE10</v>
      </c>
    </row>
    <row r="61" spans="1:18" x14ac:dyDescent="0.2">
      <c r="A61" s="22" t="s">
        <v>349</v>
      </c>
      <c r="B61" s="23">
        <v>45546</v>
      </c>
      <c r="C61" s="22" t="s">
        <v>350</v>
      </c>
      <c r="D61" s="22" t="s">
        <v>61</v>
      </c>
      <c r="E61" s="22">
        <v>4</v>
      </c>
      <c r="F61" s="24">
        <v>593.27</v>
      </c>
      <c r="G61" s="22" t="s">
        <v>351</v>
      </c>
      <c r="H61" s="22" t="s">
        <v>79</v>
      </c>
      <c r="I61" s="22" t="s">
        <v>70</v>
      </c>
      <c r="J61" s="22" t="s">
        <v>352</v>
      </c>
      <c r="K61" s="22">
        <v>5</v>
      </c>
      <c r="L61" s="22"/>
      <c r="M61" s="22" t="s">
        <v>87</v>
      </c>
      <c r="N61" s="24">
        <v>2373.08</v>
      </c>
      <c r="O61" s="22">
        <f>YEAR(B61)</f>
        <v>2024</v>
      </c>
      <c r="P61" s="25">
        <f>DATE(YEAR(B61),MONTH(B61),1)</f>
        <v>45536</v>
      </c>
      <c r="Q61" s="22" t="str">
        <f>IF(N61&gt;Summary!$C$17,"Outlier","")</f>
        <v/>
      </c>
      <c r="R61" s="22" t="str">
        <f>IF(L61="","None",L61)</f>
        <v>None</v>
      </c>
    </row>
    <row r="62" spans="1:18" x14ac:dyDescent="0.2">
      <c r="A62" s="22" t="s">
        <v>353</v>
      </c>
      <c r="B62" s="23">
        <v>45525</v>
      </c>
      <c r="C62" s="22" t="s">
        <v>354</v>
      </c>
      <c r="D62" s="22" t="s">
        <v>66</v>
      </c>
      <c r="E62" s="22">
        <v>1</v>
      </c>
      <c r="F62" s="24">
        <v>417.1</v>
      </c>
      <c r="G62" s="22" t="s">
        <v>355</v>
      </c>
      <c r="H62" s="22" t="s">
        <v>77</v>
      </c>
      <c r="I62" s="22" t="s">
        <v>72</v>
      </c>
      <c r="J62" s="22" t="s">
        <v>356</v>
      </c>
      <c r="K62" s="22">
        <v>3</v>
      </c>
      <c r="L62" s="22" t="s">
        <v>82</v>
      </c>
      <c r="M62" s="22" t="s">
        <v>90</v>
      </c>
      <c r="N62" s="24">
        <v>417.1</v>
      </c>
      <c r="O62" s="22">
        <f>YEAR(B62)</f>
        <v>2024</v>
      </c>
      <c r="P62" s="25">
        <f>DATE(YEAR(B62),MONTH(B62),1)</f>
        <v>45505</v>
      </c>
      <c r="Q62" s="22" t="str">
        <f>IF(N62&gt;Summary!$C$17,"Outlier","")</f>
        <v/>
      </c>
      <c r="R62" s="22" t="str">
        <f>IF(L62="","None",L62)</f>
        <v>FREESHIP</v>
      </c>
    </row>
    <row r="63" spans="1:18" x14ac:dyDescent="0.2">
      <c r="A63" s="22" t="s">
        <v>357</v>
      </c>
      <c r="B63" s="23">
        <v>45375</v>
      </c>
      <c r="C63" s="22" t="s">
        <v>358</v>
      </c>
      <c r="D63" s="22" t="s">
        <v>66</v>
      </c>
      <c r="E63" s="22">
        <v>4</v>
      </c>
      <c r="F63" s="24">
        <v>122.2</v>
      </c>
      <c r="G63" s="22" t="s">
        <v>359</v>
      </c>
      <c r="H63" s="22" t="s">
        <v>75</v>
      </c>
      <c r="I63" s="22" t="s">
        <v>69</v>
      </c>
      <c r="J63" s="22" t="s">
        <v>360</v>
      </c>
      <c r="K63" s="22">
        <v>7</v>
      </c>
      <c r="L63" s="22" t="s">
        <v>82</v>
      </c>
      <c r="M63" s="22" t="s">
        <v>87</v>
      </c>
      <c r="N63" s="24">
        <v>488.8</v>
      </c>
      <c r="O63" s="22">
        <f>YEAR(B63)</f>
        <v>2024</v>
      </c>
      <c r="P63" s="25">
        <f>DATE(YEAR(B63),MONTH(B63),1)</f>
        <v>45352</v>
      </c>
      <c r="Q63" s="22" t="str">
        <f>IF(N63&gt;Summary!$C$17,"Outlier","")</f>
        <v/>
      </c>
      <c r="R63" s="22" t="str">
        <f>IF(L63="","None",L63)</f>
        <v>FREESHIP</v>
      </c>
    </row>
    <row r="64" spans="1:18" x14ac:dyDescent="0.2">
      <c r="A64" s="22" t="s">
        <v>361</v>
      </c>
      <c r="B64" s="23">
        <v>45160</v>
      </c>
      <c r="C64" s="22" t="s">
        <v>362</v>
      </c>
      <c r="D64" s="22" t="s">
        <v>66</v>
      </c>
      <c r="E64" s="22">
        <v>2</v>
      </c>
      <c r="F64" s="24">
        <v>43.15</v>
      </c>
      <c r="G64" s="22" t="s">
        <v>363</v>
      </c>
      <c r="H64" s="22" t="s">
        <v>77</v>
      </c>
      <c r="I64" s="22" t="s">
        <v>71</v>
      </c>
      <c r="J64" s="22" t="s">
        <v>364</v>
      </c>
      <c r="K64" s="22">
        <v>3</v>
      </c>
      <c r="L64" s="22" t="s">
        <v>84</v>
      </c>
      <c r="M64" s="22" t="s">
        <v>86</v>
      </c>
      <c r="N64" s="24">
        <v>86.3</v>
      </c>
      <c r="O64" s="22">
        <f>YEAR(B64)</f>
        <v>2023</v>
      </c>
      <c r="P64" s="25">
        <f>DATE(YEAR(B64),MONTH(B64),1)</f>
        <v>45139</v>
      </c>
      <c r="Q64" s="22" t="str">
        <f>IF(N64&gt;Summary!$C$17,"Outlier","")</f>
        <v/>
      </c>
      <c r="R64" s="22" t="str">
        <f>IF(L64="","None",L64)</f>
        <v>WINTER15</v>
      </c>
    </row>
    <row r="65" spans="1:18" x14ac:dyDescent="0.2">
      <c r="A65" s="22" t="s">
        <v>365</v>
      </c>
      <c r="B65" s="23">
        <v>45690</v>
      </c>
      <c r="C65" s="22" t="s">
        <v>366</v>
      </c>
      <c r="D65" s="22" t="s">
        <v>61</v>
      </c>
      <c r="E65" s="22">
        <v>1</v>
      </c>
      <c r="F65" s="24">
        <v>564.86</v>
      </c>
      <c r="G65" s="22" t="s">
        <v>367</v>
      </c>
      <c r="H65" s="22" t="s">
        <v>77</v>
      </c>
      <c r="I65" s="22" t="s">
        <v>70</v>
      </c>
      <c r="J65" s="22" t="s">
        <v>368</v>
      </c>
      <c r="K65" s="22">
        <v>6</v>
      </c>
      <c r="L65" s="22" t="s">
        <v>84</v>
      </c>
      <c r="M65" s="22" t="s">
        <v>90</v>
      </c>
      <c r="N65" s="24">
        <v>564.86</v>
      </c>
      <c r="O65" s="22">
        <f>YEAR(B65)</f>
        <v>2025</v>
      </c>
      <c r="P65" s="25">
        <f>DATE(YEAR(B65),MONTH(B65),1)</f>
        <v>45689</v>
      </c>
      <c r="Q65" s="22" t="str">
        <f>IF(N65&gt;Summary!$C$17,"Outlier","")</f>
        <v/>
      </c>
      <c r="R65" s="22" t="str">
        <f>IF(L65="","None",L65)</f>
        <v>WINTER15</v>
      </c>
    </row>
    <row r="66" spans="1:18" x14ac:dyDescent="0.2">
      <c r="A66" s="22" t="s">
        <v>369</v>
      </c>
      <c r="B66" s="23">
        <v>45833</v>
      </c>
      <c r="C66" s="22" t="s">
        <v>370</v>
      </c>
      <c r="D66" s="22" t="s">
        <v>62</v>
      </c>
      <c r="E66" s="22">
        <v>3</v>
      </c>
      <c r="F66" s="24">
        <v>130.61000000000001</v>
      </c>
      <c r="G66" s="22" t="s">
        <v>371</v>
      </c>
      <c r="H66" s="22" t="s">
        <v>77</v>
      </c>
      <c r="I66" s="22" t="s">
        <v>73</v>
      </c>
      <c r="J66" s="22" t="s">
        <v>372</v>
      </c>
      <c r="K66" s="22">
        <v>4</v>
      </c>
      <c r="L66" s="22" t="s">
        <v>82</v>
      </c>
      <c r="M66" s="22" t="s">
        <v>87</v>
      </c>
      <c r="N66" s="24">
        <v>391.83</v>
      </c>
      <c r="O66" s="22">
        <f>YEAR(B66)</f>
        <v>2025</v>
      </c>
      <c r="P66" s="25">
        <f>DATE(YEAR(B66),MONTH(B66),1)</f>
        <v>45809</v>
      </c>
      <c r="Q66" s="22" t="str">
        <f>IF(N66&gt;Summary!$C$17,"Outlier","")</f>
        <v/>
      </c>
      <c r="R66" s="22" t="str">
        <f>IF(L66="","None",L66)</f>
        <v>FREESHIP</v>
      </c>
    </row>
    <row r="67" spans="1:18" x14ac:dyDescent="0.2">
      <c r="A67" s="22" t="s">
        <v>373</v>
      </c>
      <c r="B67" s="23">
        <v>45290</v>
      </c>
      <c r="C67" s="22" t="s">
        <v>374</v>
      </c>
      <c r="D67" s="22" t="s">
        <v>65</v>
      </c>
      <c r="E67" s="22">
        <v>5</v>
      </c>
      <c r="F67" s="24">
        <v>81.7</v>
      </c>
      <c r="G67" s="22" t="s">
        <v>375</v>
      </c>
      <c r="H67" s="22" t="s">
        <v>76</v>
      </c>
      <c r="I67" s="22" t="s">
        <v>69</v>
      </c>
      <c r="J67" s="22" t="s">
        <v>376</v>
      </c>
      <c r="K67" s="22">
        <v>6</v>
      </c>
      <c r="L67" s="22"/>
      <c r="M67" s="22" t="s">
        <v>89</v>
      </c>
      <c r="N67" s="24">
        <v>408.5</v>
      </c>
      <c r="O67" s="22">
        <f>YEAR(B67)</f>
        <v>2023</v>
      </c>
      <c r="P67" s="25">
        <f>DATE(YEAR(B67),MONTH(B67),1)</f>
        <v>45261</v>
      </c>
      <c r="Q67" s="22" t="str">
        <f>IF(N67&gt;Summary!$C$17,"Outlier","")</f>
        <v/>
      </c>
      <c r="R67" s="22" t="str">
        <f>IF(L67="","None",L67)</f>
        <v>None</v>
      </c>
    </row>
    <row r="68" spans="1:18" x14ac:dyDescent="0.2">
      <c r="A68" s="22" t="s">
        <v>377</v>
      </c>
      <c r="B68" s="23">
        <v>45611</v>
      </c>
      <c r="C68" s="22" t="s">
        <v>378</v>
      </c>
      <c r="D68" s="22" t="s">
        <v>61</v>
      </c>
      <c r="E68" s="22">
        <v>5</v>
      </c>
      <c r="F68" s="24">
        <v>127.18</v>
      </c>
      <c r="G68" s="22" t="s">
        <v>379</v>
      </c>
      <c r="H68" s="22" t="s">
        <v>75</v>
      </c>
      <c r="I68" s="22" t="s">
        <v>73</v>
      </c>
      <c r="J68" s="22" t="s">
        <v>380</v>
      </c>
      <c r="K68" s="22">
        <v>9</v>
      </c>
      <c r="L68" s="22" t="s">
        <v>83</v>
      </c>
      <c r="M68" s="22" t="s">
        <v>90</v>
      </c>
      <c r="N68" s="24">
        <v>635.9</v>
      </c>
      <c r="O68" s="22">
        <f>YEAR(B68)</f>
        <v>2024</v>
      </c>
      <c r="P68" s="25">
        <f>DATE(YEAR(B68),MONTH(B68),1)</f>
        <v>45597</v>
      </c>
      <c r="Q68" s="22" t="str">
        <f>IF(N68&gt;Summary!$C$17,"Outlier","")</f>
        <v/>
      </c>
      <c r="R68" s="22" t="str">
        <f>IF(L68="","None",L68)</f>
        <v>SAVE10</v>
      </c>
    </row>
    <row r="69" spans="1:18" x14ac:dyDescent="0.2">
      <c r="A69" s="22" t="s">
        <v>381</v>
      </c>
      <c r="B69" s="23">
        <v>45635</v>
      </c>
      <c r="C69" s="22" t="s">
        <v>382</v>
      </c>
      <c r="D69" s="22" t="s">
        <v>62</v>
      </c>
      <c r="E69" s="22">
        <v>4</v>
      </c>
      <c r="F69" s="24">
        <v>12.1</v>
      </c>
      <c r="G69" s="22" t="s">
        <v>383</v>
      </c>
      <c r="H69" s="22" t="s">
        <v>77</v>
      </c>
      <c r="I69" s="22" t="s">
        <v>73</v>
      </c>
      <c r="J69" s="22" t="s">
        <v>384</v>
      </c>
      <c r="K69" s="22">
        <v>8</v>
      </c>
      <c r="L69" s="22"/>
      <c r="M69" s="22" t="s">
        <v>88</v>
      </c>
      <c r="N69" s="24">
        <v>48.4</v>
      </c>
      <c r="O69" s="22">
        <f>YEAR(B69)</f>
        <v>2024</v>
      </c>
      <c r="P69" s="25">
        <f>DATE(YEAR(B69),MONTH(B69),1)</f>
        <v>45627</v>
      </c>
      <c r="Q69" s="22" t="str">
        <f>IF(N69&gt;Summary!$C$17,"Outlier","")</f>
        <v/>
      </c>
      <c r="R69" s="22" t="str">
        <f>IF(L69="","None",L69)</f>
        <v>None</v>
      </c>
    </row>
    <row r="70" spans="1:18" x14ac:dyDescent="0.2">
      <c r="A70" s="22" t="s">
        <v>385</v>
      </c>
      <c r="B70" s="23">
        <v>45271</v>
      </c>
      <c r="C70" s="22" t="s">
        <v>386</v>
      </c>
      <c r="D70" s="22" t="s">
        <v>61</v>
      </c>
      <c r="E70" s="22">
        <v>3</v>
      </c>
      <c r="F70" s="24">
        <v>490.92</v>
      </c>
      <c r="G70" s="22" t="s">
        <v>219</v>
      </c>
      <c r="H70" s="22" t="s">
        <v>76</v>
      </c>
      <c r="I70" s="22" t="s">
        <v>71</v>
      </c>
      <c r="J70" s="22" t="s">
        <v>387</v>
      </c>
      <c r="K70" s="22">
        <v>5</v>
      </c>
      <c r="L70" s="22" t="s">
        <v>82</v>
      </c>
      <c r="M70" s="22" t="s">
        <v>86</v>
      </c>
      <c r="N70" s="24">
        <v>1472.76</v>
      </c>
      <c r="O70" s="22">
        <f>YEAR(B70)</f>
        <v>2023</v>
      </c>
      <c r="P70" s="25">
        <f>DATE(YEAR(B70),MONTH(B70),1)</f>
        <v>45261</v>
      </c>
      <c r="Q70" s="22" t="str">
        <f>IF(N70&gt;Summary!$C$17,"Outlier","")</f>
        <v/>
      </c>
      <c r="R70" s="22" t="str">
        <f>IF(L70="","None",L70)</f>
        <v>FREESHIP</v>
      </c>
    </row>
    <row r="71" spans="1:18" x14ac:dyDescent="0.2">
      <c r="A71" s="22" t="s">
        <v>388</v>
      </c>
      <c r="B71" s="23">
        <v>45057</v>
      </c>
      <c r="C71" s="22" t="s">
        <v>389</v>
      </c>
      <c r="D71" s="22" t="s">
        <v>65</v>
      </c>
      <c r="E71" s="22">
        <v>3</v>
      </c>
      <c r="F71" s="24">
        <v>478.65</v>
      </c>
      <c r="G71" s="22" t="s">
        <v>390</v>
      </c>
      <c r="H71" s="22" t="s">
        <v>79</v>
      </c>
      <c r="I71" s="22" t="s">
        <v>70</v>
      </c>
      <c r="J71" s="22" t="s">
        <v>391</v>
      </c>
      <c r="K71" s="22">
        <v>4</v>
      </c>
      <c r="L71" s="22"/>
      <c r="M71" s="22" t="s">
        <v>90</v>
      </c>
      <c r="N71" s="24">
        <v>1435.95</v>
      </c>
      <c r="O71" s="22">
        <f>YEAR(B71)</f>
        <v>2023</v>
      </c>
      <c r="P71" s="25">
        <f>DATE(YEAR(B71),MONTH(B71),1)</f>
        <v>45047</v>
      </c>
      <c r="Q71" s="22" t="str">
        <f>IF(N71&gt;Summary!$C$17,"Outlier","")</f>
        <v/>
      </c>
      <c r="R71" s="22" t="str">
        <f>IF(L71="","None",L71)</f>
        <v>None</v>
      </c>
    </row>
    <row r="72" spans="1:18" x14ac:dyDescent="0.2">
      <c r="A72" s="22" t="s">
        <v>392</v>
      </c>
      <c r="B72" s="23">
        <v>45072</v>
      </c>
      <c r="C72" s="22" t="s">
        <v>393</v>
      </c>
      <c r="D72" s="22" t="s">
        <v>66</v>
      </c>
      <c r="E72" s="22">
        <v>1</v>
      </c>
      <c r="F72" s="24">
        <v>629.21</v>
      </c>
      <c r="G72" s="22" t="s">
        <v>394</v>
      </c>
      <c r="H72" s="22" t="s">
        <v>78</v>
      </c>
      <c r="I72" s="22" t="s">
        <v>71</v>
      </c>
      <c r="J72" s="22" t="s">
        <v>395</v>
      </c>
      <c r="K72" s="22">
        <v>2</v>
      </c>
      <c r="L72" s="22" t="s">
        <v>82</v>
      </c>
      <c r="M72" s="22" t="s">
        <v>89</v>
      </c>
      <c r="N72" s="24">
        <v>629.21</v>
      </c>
      <c r="O72" s="22">
        <f>YEAR(B72)</f>
        <v>2023</v>
      </c>
      <c r="P72" s="25">
        <f>DATE(YEAR(B72),MONTH(B72),1)</f>
        <v>45047</v>
      </c>
      <c r="Q72" s="22" t="str">
        <f>IF(N72&gt;Summary!$C$17,"Outlier","")</f>
        <v/>
      </c>
      <c r="R72" s="22" t="str">
        <f>IF(L72="","None",L72)</f>
        <v>FREESHIP</v>
      </c>
    </row>
    <row r="73" spans="1:18" x14ac:dyDescent="0.2">
      <c r="A73" s="22" t="s">
        <v>396</v>
      </c>
      <c r="B73" s="23">
        <v>45818</v>
      </c>
      <c r="C73" s="22" t="s">
        <v>397</v>
      </c>
      <c r="D73" s="22" t="s">
        <v>65</v>
      </c>
      <c r="E73" s="22">
        <v>3</v>
      </c>
      <c r="F73" s="24">
        <v>434.45</v>
      </c>
      <c r="G73" s="22" t="s">
        <v>398</v>
      </c>
      <c r="H73" s="22" t="s">
        <v>76</v>
      </c>
      <c r="I73" s="22" t="s">
        <v>71</v>
      </c>
      <c r="J73" s="22" t="s">
        <v>399</v>
      </c>
      <c r="K73" s="22">
        <v>4</v>
      </c>
      <c r="L73" s="22"/>
      <c r="M73" s="22" t="s">
        <v>90</v>
      </c>
      <c r="N73" s="24">
        <v>1303.3499999999999</v>
      </c>
      <c r="O73" s="22">
        <f>YEAR(B73)</f>
        <v>2025</v>
      </c>
      <c r="P73" s="25">
        <f>DATE(YEAR(B73),MONTH(B73),1)</f>
        <v>45809</v>
      </c>
      <c r="Q73" s="22" t="str">
        <f>IF(N73&gt;Summary!$C$17,"Outlier","")</f>
        <v/>
      </c>
      <c r="R73" s="22" t="str">
        <f>IF(L73="","None",L73)</f>
        <v>None</v>
      </c>
    </row>
    <row r="74" spans="1:18" x14ac:dyDescent="0.2">
      <c r="A74" s="22" t="s">
        <v>400</v>
      </c>
      <c r="B74" s="23">
        <v>45648</v>
      </c>
      <c r="C74" s="22" t="s">
        <v>401</v>
      </c>
      <c r="D74" s="22" t="s">
        <v>64</v>
      </c>
      <c r="E74" s="22">
        <v>4</v>
      </c>
      <c r="F74" s="24">
        <v>589.44000000000005</v>
      </c>
      <c r="G74" s="22" t="s">
        <v>179</v>
      </c>
      <c r="H74" s="22" t="s">
        <v>78</v>
      </c>
      <c r="I74" s="22" t="s">
        <v>72</v>
      </c>
      <c r="J74" s="22" t="s">
        <v>402</v>
      </c>
      <c r="K74" s="22">
        <v>5</v>
      </c>
      <c r="L74" s="22"/>
      <c r="M74" s="22" t="s">
        <v>87</v>
      </c>
      <c r="N74" s="24">
        <v>2357.7600000000002</v>
      </c>
      <c r="O74" s="22">
        <f>YEAR(B74)</f>
        <v>2024</v>
      </c>
      <c r="P74" s="25">
        <f>DATE(YEAR(B74),MONTH(B74),1)</f>
        <v>45627</v>
      </c>
      <c r="Q74" s="22" t="str">
        <f>IF(N74&gt;Summary!$C$17,"Outlier","")</f>
        <v/>
      </c>
      <c r="R74" s="22" t="str">
        <f>IF(L74="","None",L74)</f>
        <v>None</v>
      </c>
    </row>
    <row r="75" spans="1:18" x14ac:dyDescent="0.2">
      <c r="A75" s="22" t="s">
        <v>403</v>
      </c>
      <c r="B75" s="23">
        <v>45049</v>
      </c>
      <c r="C75" s="22" t="s">
        <v>404</v>
      </c>
      <c r="D75" s="22" t="s">
        <v>65</v>
      </c>
      <c r="E75" s="22">
        <v>4</v>
      </c>
      <c r="F75" s="24">
        <v>433.45</v>
      </c>
      <c r="G75" s="22" t="s">
        <v>405</v>
      </c>
      <c r="H75" s="22" t="s">
        <v>78</v>
      </c>
      <c r="I75" s="22" t="s">
        <v>73</v>
      </c>
      <c r="J75" s="22" t="s">
        <v>406</v>
      </c>
      <c r="K75" s="22">
        <v>4</v>
      </c>
      <c r="L75" s="22"/>
      <c r="M75" s="22" t="s">
        <v>87</v>
      </c>
      <c r="N75" s="24">
        <v>1733.8</v>
      </c>
      <c r="O75" s="22">
        <f>YEAR(B75)</f>
        <v>2023</v>
      </c>
      <c r="P75" s="25">
        <f>DATE(YEAR(B75),MONTH(B75),1)</f>
        <v>45047</v>
      </c>
      <c r="Q75" s="22" t="str">
        <f>IF(N75&gt;Summary!$C$17,"Outlier","")</f>
        <v/>
      </c>
      <c r="R75" s="22" t="str">
        <f>IF(L75="","None",L75)</f>
        <v>None</v>
      </c>
    </row>
    <row r="76" spans="1:18" x14ac:dyDescent="0.2">
      <c r="A76" s="22" t="s">
        <v>407</v>
      </c>
      <c r="B76" s="23">
        <v>45101</v>
      </c>
      <c r="C76" s="22" t="s">
        <v>408</v>
      </c>
      <c r="D76" s="22" t="s">
        <v>67</v>
      </c>
      <c r="E76" s="22">
        <v>5</v>
      </c>
      <c r="F76" s="24">
        <v>90.87</v>
      </c>
      <c r="G76" s="22" t="s">
        <v>409</v>
      </c>
      <c r="H76" s="22" t="s">
        <v>75</v>
      </c>
      <c r="I76" s="22" t="s">
        <v>71</v>
      </c>
      <c r="J76" s="22" t="s">
        <v>410</v>
      </c>
      <c r="K76" s="22">
        <v>5</v>
      </c>
      <c r="L76" s="22"/>
      <c r="M76" s="22" t="s">
        <v>89</v>
      </c>
      <c r="N76" s="24">
        <v>454.35</v>
      </c>
      <c r="O76" s="22">
        <f>YEAR(B76)</f>
        <v>2023</v>
      </c>
      <c r="P76" s="25">
        <f>DATE(YEAR(B76),MONTH(B76),1)</f>
        <v>45078</v>
      </c>
      <c r="Q76" s="22" t="str">
        <f>IF(N76&gt;Summary!$C$17,"Outlier","")</f>
        <v/>
      </c>
      <c r="R76" s="22" t="str">
        <f>IF(L76="","None",L76)</f>
        <v>None</v>
      </c>
    </row>
    <row r="77" spans="1:18" x14ac:dyDescent="0.2">
      <c r="A77" s="22" t="s">
        <v>411</v>
      </c>
      <c r="B77" s="23">
        <v>45195</v>
      </c>
      <c r="C77" s="22" t="s">
        <v>412</v>
      </c>
      <c r="D77" s="22" t="s">
        <v>64</v>
      </c>
      <c r="E77" s="22">
        <v>3</v>
      </c>
      <c r="F77" s="24">
        <v>398.17</v>
      </c>
      <c r="G77" s="22" t="s">
        <v>413</v>
      </c>
      <c r="H77" s="22" t="s">
        <v>77</v>
      </c>
      <c r="I77" s="22" t="s">
        <v>69</v>
      </c>
      <c r="J77" s="22" t="s">
        <v>414</v>
      </c>
      <c r="K77" s="22">
        <v>5</v>
      </c>
      <c r="L77" s="22" t="s">
        <v>83</v>
      </c>
      <c r="M77" s="22" t="s">
        <v>86</v>
      </c>
      <c r="N77" s="24">
        <v>1194.51</v>
      </c>
      <c r="O77" s="22">
        <f>YEAR(B77)</f>
        <v>2023</v>
      </c>
      <c r="P77" s="25">
        <f>DATE(YEAR(B77),MONTH(B77),1)</f>
        <v>45170</v>
      </c>
      <c r="Q77" s="22" t="str">
        <f>IF(N77&gt;Summary!$C$17,"Outlier","")</f>
        <v/>
      </c>
      <c r="R77" s="22" t="str">
        <f>IF(L77="","None",L77)</f>
        <v>SAVE10</v>
      </c>
    </row>
    <row r="78" spans="1:18" x14ac:dyDescent="0.2">
      <c r="A78" s="22" t="s">
        <v>415</v>
      </c>
      <c r="B78" s="23">
        <v>45382</v>
      </c>
      <c r="C78" s="22" t="s">
        <v>416</v>
      </c>
      <c r="D78" s="22" t="s">
        <v>63</v>
      </c>
      <c r="E78" s="22">
        <v>4</v>
      </c>
      <c r="F78" s="24">
        <v>382.88</v>
      </c>
      <c r="G78" s="22" t="s">
        <v>417</v>
      </c>
      <c r="H78" s="22" t="s">
        <v>75</v>
      </c>
      <c r="I78" s="22" t="s">
        <v>73</v>
      </c>
      <c r="J78" s="22" t="s">
        <v>418</v>
      </c>
      <c r="K78" s="22">
        <v>6</v>
      </c>
      <c r="L78" s="22" t="s">
        <v>84</v>
      </c>
      <c r="M78" s="22" t="s">
        <v>86</v>
      </c>
      <c r="N78" s="24">
        <v>1531.52</v>
      </c>
      <c r="O78" s="22">
        <f>YEAR(B78)</f>
        <v>2024</v>
      </c>
      <c r="P78" s="25">
        <f>DATE(YEAR(B78),MONTH(B78),1)</f>
        <v>45352</v>
      </c>
      <c r="Q78" s="22" t="str">
        <f>IF(N78&gt;Summary!$C$17,"Outlier","")</f>
        <v/>
      </c>
      <c r="R78" s="22" t="str">
        <f>IF(L78="","None",L78)</f>
        <v>WINTER15</v>
      </c>
    </row>
    <row r="79" spans="1:18" x14ac:dyDescent="0.2">
      <c r="A79" s="22" t="s">
        <v>419</v>
      </c>
      <c r="B79" s="23">
        <v>45436</v>
      </c>
      <c r="C79" s="22" t="s">
        <v>420</v>
      </c>
      <c r="D79" s="22" t="s">
        <v>67</v>
      </c>
      <c r="E79" s="22">
        <v>1</v>
      </c>
      <c r="F79" s="24">
        <v>583.17999999999995</v>
      </c>
      <c r="G79" s="22" t="s">
        <v>421</v>
      </c>
      <c r="H79" s="22" t="s">
        <v>76</v>
      </c>
      <c r="I79" s="22" t="s">
        <v>72</v>
      </c>
      <c r="J79" s="22" t="s">
        <v>422</v>
      </c>
      <c r="K79" s="22">
        <v>5</v>
      </c>
      <c r="L79" s="22"/>
      <c r="M79" s="22" t="s">
        <v>88</v>
      </c>
      <c r="N79" s="24">
        <v>583.17999999999995</v>
      </c>
      <c r="O79" s="22">
        <f>YEAR(B79)</f>
        <v>2024</v>
      </c>
      <c r="P79" s="25">
        <f>DATE(YEAR(B79),MONTH(B79),1)</f>
        <v>45413</v>
      </c>
      <c r="Q79" s="22" t="str">
        <f>IF(N79&gt;Summary!$C$17,"Outlier","")</f>
        <v/>
      </c>
      <c r="R79" s="22" t="str">
        <f>IF(L79="","None",L79)</f>
        <v>None</v>
      </c>
    </row>
    <row r="80" spans="1:18" x14ac:dyDescent="0.2">
      <c r="A80" s="22" t="s">
        <v>423</v>
      </c>
      <c r="B80" s="23">
        <v>45510</v>
      </c>
      <c r="C80" s="22" t="s">
        <v>424</v>
      </c>
      <c r="D80" s="22" t="s">
        <v>62</v>
      </c>
      <c r="E80" s="22">
        <v>4</v>
      </c>
      <c r="F80" s="24">
        <v>175.36</v>
      </c>
      <c r="G80" s="22" t="s">
        <v>425</v>
      </c>
      <c r="H80" s="22" t="s">
        <v>77</v>
      </c>
      <c r="I80" s="22" t="s">
        <v>69</v>
      </c>
      <c r="J80" s="22" t="s">
        <v>426</v>
      </c>
      <c r="K80" s="22">
        <v>4</v>
      </c>
      <c r="L80" s="22" t="s">
        <v>82</v>
      </c>
      <c r="M80" s="22" t="s">
        <v>89</v>
      </c>
      <c r="N80" s="24">
        <v>701.44</v>
      </c>
      <c r="O80" s="22">
        <f>YEAR(B80)</f>
        <v>2024</v>
      </c>
      <c r="P80" s="25">
        <f>DATE(YEAR(B80),MONTH(B80),1)</f>
        <v>45505</v>
      </c>
      <c r="Q80" s="22" t="str">
        <f>IF(N80&gt;Summary!$C$17,"Outlier","")</f>
        <v/>
      </c>
      <c r="R80" s="22" t="str">
        <f>IF(L80="","None",L80)</f>
        <v>FREESHIP</v>
      </c>
    </row>
    <row r="81" spans="1:18" x14ac:dyDescent="0.2">
      <c r="A81" s="22" t="s">
        <v>427</v>
      </c>
      <c r="B81" s="23">
        <v>45726</v>
      </c>
      <c r="C81" s="22" t="s">
        <v>428</v>
      </c>
      <c r="D81" s="22" t="s">
        <v>64</v>
      </c>
      <c r="E81" s="22">
        <v>2</v>
      </c>
      <c r="F81" s="24">
        <v>311.91000000000003</v>
      </c>
      <c r="G81" s="22" t="s">
        <v>429</v>
      </c>
      <c r="H81" s="22" t="s">
        <v>79</v>
      </c>
      <c r="I81" s="22" t="s">
        <v>70</v>
      </c>
      <c r="J81" s="22" t="s">
        <v>430</v>
      </c>
      <c r="K81" s="22">
        <v>2</v>
      </c>
      <c r="L81" s="22"/>
      <c r="M81" s="22" t="s">
        <v>87</v>
      </c>
      <c r="N81" s="24">
        <v>623.82000000000005</v>
      </c>
      <c r="O81" s="22">
        <f>YEAR(B81)</f>
        <v>2025</v>
      </c>
      <c r="P81" s="25">
        <f>DATE(YEAR(B81),MONTH(B81),1)</f>
        <v>45717</v>
      </c>
      <c r="Q81" s="22" t="str">
        <f>IF(N81&gt;Summary!$C$17,"Outlier","")</f>
        <v/>
      </c>
      <c r="R81" s="22" t="str">
        <f>IF(L81="","None",L81)</f>
        <v>None</v>
      </c>
    </row>
    <row r="82" spans="1:18" x14ac:dyDescent="0.2">
      <c r="A82" s="22" t="s">
        <v>431</v>
      </c>
      <c r="B82" s="23">
        <v>45104</v>
      </c>
      <c r="C82" s="22" t="s">
        <v>432</v>
      </c>
      <c r="D82" s="22" t="s">
        <v>67</v>
      </c>
      <c r="E82" s="22">
        <v>3</v>
      </c>
      <c r="F82" s="24">
        <v>589.55999999999995</v>
      </c>
      <c r="G82" s="22" t="s">
        <v>433</v>
      </c>
      <c r="H82" s="22" t="s">
        <v>79</v>
      </c>
      <c r="I82" s="22" t="s">
        <v>72</v>
      </c>
      <c r="J82" s="22" t="s">
        <v>434</v>
      </c>
      <c r="K82" s="22">
        <v>6</v>
      </c>
      <c r="L82" s="22"/>
      <c r="M82" s="22" t="s">
        <v>87</v>
      </c>
      <c r="N82" s="24">
        <v>1768.68</v>
      </c>
      <c r="O82" s="22">
        <f>YEAR(B82)</f>
        <v>2023</v>
      </c>
      <c r="P82" s="25">
        <f>DATE(YEAR(B82),MONTH(B82),1)</f>
        <v>45078</v>
      </c>
      <c r="Q82" s="22" t="str">
        <f>IF(N82&gt;Summary!$C$17,"Outlier","")</f>
        <v/>
      </c>
      <c r="R82" s="22" t="str">
        <f>IF(L82="","None",L82)</f>
        <v>None</v>
      </c>
    </row>
    <row r="83" spans="1:18" x14ac:dyDescent="0.2">
      <c r="A83" s="22" t="s">
        <v>435</v>
      </c>
      <c r="B83" s="23">
        <v>45085</v>
      </c>
      <c r="C83" s="22" t="s">
        <v>436</v>
      </c>
      <c r="D83" s="22" t="s">
        <v>65</v>
      </c>
      <c r="E83" s="22">
        <v>2</v>
      </c>
      <c r="F83" s="24">
        <v>394.3</v>
      </c>
      <c r="G83" s="22" t="s">
        <v>437</v>
      </c>
      <c r="H83" s="22" t="s">
        <v>75</v>
      </c>
      <c r="I83" s="22" t="s">
        <v>70</v>
      </c>
      <c r="J83" s="22" t="s">
        <v>438</v>
      </c>
      <c r="K83" s="22">
        <v>6</v>
      </c>
      <c r="L83" s="22" t="s">
        <v>82</v>
      </c>
      <c r="M83" s="22" t="s">
        <v>86</v>
      </c>
      <c r="N83" s="24">
        <v>788.6</v>
      </c>
      <c r="O83" s="22">
        <f>YEAR(B83)</f>
        <v>2023</v>
      </c>
      <c r="P83" s="25">
        <f>DATE(YEAR(B83),MONTH(B83),1)</f>
        <v>45078</v>
      </c>
      <c r="Q83" s="22" t="str">
        <f>IF(N83&gt;Summary!$C$17,"Outlier","")</f>
        <v/>
      </c>
      <c r="R83" s="22" t="str">
        <f>IF(L83="","None",L83)</f>
        <v>FREESHIP</v>
      </c>
    </row>
    <row r="84" spans="1:18" x14ac:dyDescent="0.2">
      <c r="A84" s="22" t="s">
        <v>439</v>
      </c>
      <c r="B84" s="23">
        <v>45296</v>
      </c>
      <c r="C84" s="22" t="s">
        <v>440</v>
      </c>
      <c r="D84" s="22" t="s">
        <v>64</v>
      </c>
      <c r="E84" s="22">
        <v>4</v>
      </c>
      <c r="F84" s="24">
        <v>565.20000000000005</v>
      </c>
      <c r="G84" s="22" t="s">
        <v>441</v>
      </c>
      <c r="H84" s="22" t="s">
        <v>77</v>
      </c>
      <c r="I84" s="22" t="s">
        <v>70</v>
      </c>
      <c r="J84" s="22" t="s">
        <v>442</v>
      </c>
      <c r="K84" s="22">
        <v>9</v>
      </c>
      <c r="L84" s="22" t="s">
        <v>83</v>
      </c>
      <c r="M84" s="22" t="s">
        <v>88</v>
      </c>
      <c r="N84" s="24">
        <v>2260.8000000000002</v>
      </c>
      <c r="O84" s="22">
        <f>YEAR(B84)</f>
        <v>2024</v>
      </c>
      <c r="P84" s="25">
        <f>DATE(YEAR(B84),MONTH(B84),1)</f>
        <v>45292</v>
      </c>
      <c r="Q84" s="22" t="str">
        <f>IF(N84&gt;Summary!$C$17,"Outlier","")</f>
        <v/>
      </c>
      <c r="R84" s="22" t="str">
        <f>IF(L84="","None",L84)</f>
        <v>SAVE10</v>
      </c>
    </row>
    <row r="85" spans="1:18" x14ac:dyDescent="0.2">
      <c r="A85" s="22" t="s">
        <v>443</v>
      </c>
      <c r="B85" s="23">
        <v>45160</v>
      </c>
      <c r="C85" s="22" t="s">
        <v>444</v>
      </c>
      <c r="D85" s="22" t="s">
        <v>63</v>
      </c>
      <c r="E85" s="22">
        <v>4</v>
      </c>
      <c r="F85" s="24">
        <v>540.41</v>
      </c>
      <c r="G85" s="22" t="s">
        <v>445</v>
      </c>
      <c r="H85" s="22" t="s">
        <v>76</v>
      </c>
      <c r="I85" s="22" t="s">
        <v>73</v>
      </c>
      <c r="J85" s="22" t="s">
        <v>446</v>
      </c>
      <c r="K85" s="22">
        <v>6</v>
      </c>
      <c r="L85" s="22"/>
      <c r="M85" s="22" t="s">
        <v>90</v>
      </c>
      <c r="N85" s="24">
        <v>2161.64</v>
      </c>
      <c r="O85" s="22">
        <f>YEAR(B85)</f>
        <v>2023</v>
      </c>
      <c r="P85" s="25">
        <f>DATE(YEAR(B85),MONTH(B85),1)</f>
        <v>45139</v>
      </c>
      <c r="Q85" s="22" t="str">
        <f>IF(N85&gt;Summary!$C$17,"Outlier","")</f>
        <v/>
      </c>
      <c r="R85" s="22" t="str">
        <f>IF(L85="","None",L85)</f>
        <v>None</v>
      </c>
    </row>
    <row r="86" spans="1:18" x14ac:dyDescent="0.2">
      <c r="A86" s="22" t="s">
        <v>447</v>
      </c>
      <c r="B86" s="23">
        <v>45166</v>
      </c>
      <c r="C86" s="22" t="s">
        <v>448</v>
      </c>
      <c r="D86" s="22" t="s">
        <v>65</v>
      </c>
      <c r="E86" s="22">
        <v>2</v>
      </c>
      <c r="F86" s="24">
        <v>165.49</v>
      </c>
      <c r="G86" s="22" t="s">
        <v>449</v>
      </c>
      <c r="H86" s="22" t="s">
        <v>79</v>
      </c>
      <c r="I86" s="22" t="s">
        <v>70</v>
      </c>
      <c r="J86" s="22" t="s">
        <v>450</v>
      </c>
      <c r="K86" s="22">
        <v>4</v>
      </c>
      <c r="L86" s="22" t="s">
        <v>84</v>
      </c>
      <c r="M86" s="22" t="s">
        <v>89</v>
      </c>
      <c r="N86" s="24">
        <v>330.98</v>
      </c>
      <c r="O86" s="22">
        <f>YEAR(B86)</f>
        <v>2023</v>
      </c>
      <c r="P86" s="25">
        <f>DATE(YEAR(B86),MONTH(B86),1)</f>
        <v>45139</v>
      </c>
      <c r="Q86" s="22" t="str">
        <f>IF(N86&gt;Summary!$C$17,"Outlier","")</f>
        <v/>
      </c>
      <c r="R86" s="22" t="str">
        <f>IF(L86="","None",L86)</f>
        <v>WINTER15</v>
      </c>
    </row>
    <row r="87" spans="1:18" x14ac:dyDescent="0.2">
      <c r="A87" s="22" t="s">
        <v>451</v>
      </c>
      <c r="B87" s="23">
        <v>45544</v>
      </c>
      <c r="C87" s="22" t="s">
        <v>452</v>
      </c>
      <c r="D87" s="22" t="s">
        <v>64</v>
      </c>
      <c r="E87" s="22">
        <v>3</v>
      </c>
      <c r="F87" s="24">
        <v>146.72999999999999</v>
      </c>
      <c r="G87" s="22" t="s">
        <v>453</v>
      </c>
      <c r="H87" s="22" t="s">
        <v>75</v>
      </c>
      <c r="I87" s="22" t="s">
        <v>69</v>
      </c>
      <c r="J87" s="22" t="s">
        <v>454</v>
      </c>
      <c r="K87" s="22">
        <v>8</v>
      </c>
      <c r="L87" s="22" t="s">
        <v>82</v>
      </c>
      <c r="M87" s="22" t="s">
        <v>86</v>
      </c>
      <c r="N87" s="24">
        <v>440.19</v>
      </c>
      <c r="O87" s="22">
        <f>YEAR(B87)</f>
        <v>2024</v>
      </c>
      <c r="P87" s="25">
        <f>DATE(YEAR(B87),MONTH(B87),1)</f>
        <v>45536</v>
      </c>
      <c r="Q87" s="22" t="str">
        <f>IF(N87&gt;Summary!$C$17,"Outlier","")</f>
        <v/>
      </c>
      <c r="R87" s="22" t="str">
        <f>IF(L87="","None",L87)</f>
        <v>FREESHIP</v>
      </c>
    </row>
    <row r="88" spans="1:18" x14ac:dyDescent="0.2">
      <c r="A88" s="22" t="s">
        <v>455</v>
      </c>
      <c r="B88" s="23">
        <v>45462</v>
      </c>
      <c r="C88" s="22" t="s">
        <v>456</v>
      </c>
      <c r="D88" s="22" t="s">
        <v>62</v>
      </c>
      <c r="E88" s="22">
        <v>5</v>
      </c>
      <c r="F88" s="24">
        <v>643.03</v>
      </c>
      <c r="G88" s="22" t="s">
        <v>457</v>
      </c>
      <c r="H88" s="22" t="s">
        <v>79</v>
      </c>
      <c r="I88" s="22" t="s">
        <v>73</v>
      </c>
      <c r="J88" s="22" t="s">
        <v>458</v>
      </c>
      <c r="K88" s="22">
        <v>5</v>
      </c>
      <c r="L88" s="22" t="s">
        <v>82</v>
      </c>
      <c r="M88" s="22" t="s">
        <v>90</v>
      </c>
      <c r="N88" s="24">
        <v>3215.15</v>
      </c>
      <c r="O88" s="22">
        <f>YEAR(B88)</f>
        <v>2024</v>
      </c>
      <c r="P88" s="25">
        <f>DATE(YEAR(B88),MONTH(B88),1)</f>
        <v>45444</v>
      </c>
      <c r="Q88" s="22" t="str">
        <f>IF(N88&gt;Summary!$C$17,"Outlier","")</f>
        <v/>
      </c>
      <c r="R88" s="22" t="str">
        <f>IF(L88="","None",L88)</f>
        <v>FREESHIP</v>
      </c>
    </row>
    <row r="89" spans="1:18" x14ac:dyDescent="0.2">
      <c r="A89" s="22" t="s">
        <v>459</v>
      </c>
      <c r="B89" s="23">
        <v>45575</v>
      </c>
      <c r="C89" s="22" t="s">
        <v>460</v>
      </c>
      <c r="D89" s="22" t="s">
        <v>64</v>
      </c>
      <c r="E89" s="22">
        <v>3</v>
      </c>
      <c r="F89" s="24">
        <v>225.11</v>
      </c>
      <c r="G89" s="22" t="s">
        <v>461</v>
      </c>
      <c r="H89" s="22" t="s">
        <v>75</v>
      </c>
      <c r="I89" s="22" t="s">
        <v>70</v>
      </c>
      <c r="J89" s="22" t="s">
        <v>462</v>
      </c>
      <c r="K89" s="22">
        <v>4</v>
      </c>
      <c r="L89" s="22" t="s">
        <v>83</v>
      </c>
      <c r="M89" s="22" t="s">
        <v>87</v>
      </c>
      <c r="N89" s="24">
        <v>675.33</v>
      </c>
      <c r="O89" s="22">
        <f>YEAR(B89)</f>
        <v>2024</v>
      </c>
      <c r="P89" s="25">
        <f>DATE(YEAR(B89),MONTH(B89),1)</f>
        <v>45566</v>
      </c>
      <c r="Q89" s="22" t="str">
        <f>IF(N89&gt;Summary!$C$17,"Outlier","")</f>
        <v/>
      </c>
      <c r="R89" s="22" t="str">
        <f>IF(L89="","None",L89)</f>
        <v>SAVE10</v>
      </c>
    </row>
    <row r="90" spans="1:18" x14ac:dyDescent="0.2">
      <c r="A90" s="22" t="s">
        <v>463</v>
      </c>
      <c r="B90" s="23">
        <v>45813</v>
      </c>
      <c r="C90" s="22" t="s">
        <v>464</v>
      </c>
      <c r="D90" s="22" t="s">
        <v>66</v>
      </c>
      <c r="E90" s="22">
        <v>3</v>
      </c>
      <c r="F90" s="24">
        <v>114.81</v>
      </c>
      <c r="G90" s="22" t="s">
        <v>465</v>
      </c>
      <c r="H90" s="22" t="s">
        <v>78</v>
      </c>
      <c r="I90" s="22" t="s">
        <v>73</v>
      </c>
      <c r="J90" s="22" t="s">
        <v>466</v>
      </c>
      <c r="K90" s="22">
        <v>7</v>
      </c>
      <c r="L90" s="22"/>
      <c r="M90" s="22" t="s">
        <v>88</v>
      </c>
      <c r="N90" s="24">
        <v>344.43</v>
      </c>
      <c r="O90" s="22">
        <f>YEAR(B90)</f>
        <v>2025</v>
      </c>
      <c r="P90" s="25">
        <f>DATE(YEAR(B90),MONTH(B90),1)</f>
        <v>45809</v>
      </c>
      <c r="Q90" s="22" t="str">
        <f>IF(N90&gt;Summary!$C$17,"Outlier","")</f>
        <v/>
      </c>
      <c r="R90" s="22" t="str">
        <f>IF(L90="","None",L90)</f>
        <v>None</v>
      </c>
    </row>
    <row r="91" spans="1:18" x14ac:dyDescent="0.2">
      <c r="A91" s="22" t="s">
        <v>467</v>
      </c>
      <c r="B91" s="23">
        <v>45713</v>
      </c>
      <c r="C91" s="22" t="s">
        <v>468</v>
      </c>
      <c r="D91" s="22" t="s">
        <v>62</v>
      </c>
      <c r="E91" s="22">
        <v>5</v>
      </c>
      <c r="F91" s="24">
        <v>455.33</v>
      </c>
      <c r="G91" s="22" t="s">
        <v>469</v>
      </c>
      <c r="H91" s="22" t="s">
        <v>76</v>
      </c>
      <c r="I91" s="22" t="s">
        <v>73</v>
      </c>
      <c r="J91" s="22" t="s">
        <v>470</v>
      </c>
      <c r="K91" s="22">
        <v>8</v>
      </c>
      <c r="L91" s="22" t="s">
        <v>82</v>
      </c>
      <c r="M91" s="22" t="s">
        <v>88</v>
      </c>
      <c r="N91" s="24">
        <v>2276.65</v>
      </c>
      <c r="O91" s="22">
        <f>YEAR(B91)</f>
        <v>2025</v>
      </c>
      <c r="P91" s="25">
        <f>DATE(YEAR(B91),MONTH(B91),1)</f>
        <v>45689</v>
      </c>
      <c r="Q91" s="22" t="str">
        <f>IF(N91&gt;Summary!$C$17,"Outlier","")</f>
        <v/>
      </c>
      <c r="R91" s="22" t="str">
        <f>IF(L91="","None",L91)</f>
        <v>FREESHIP</v>
      </c>
    </row>
    <row r="92" spans="1:18" x14ac:dyDescent="0.2">
      <c r="A92" s="22" t="s">
        <v>471</v>
      </c>
      <c r="B92" s="23">
        <v>45187</v>
      </c>
      <c r="C92" s="22" t="s">
        <v>472</v>
      </c>
      <c r="D92" s="22" t="s">
        <v>61</v>
      </c>
      <c r="E92" s="22">
        <v>4</v>
      </c>
      <c r="F92" s="24">
        <v>182.08</v>
      </c>
      <c r="G92" s="22" t="s">
        <v>473</v>
      </c>
      <c r="H92" s="22" t="s">
        <v>78</v>
      </c>
      <c r="I92" s="22" t="s">
        <v>69</v>
      </c>
      <c r="J92" s="22" t="s">
        <v>474</v>
      </c>
      <c r="K92" s="22">
        <v>4</v>
      </c>
      <c r="L92" s="22" t="s">
        <v>83</v>
      </c>
      <c r="M92" s="22" t="s">
        <v>86</v>
      </c>
      <c r="N92" s="24">
        <v>728.32</v>
      </c>
      <c r="O92" s="22">
        <f>YEAR(B92)</f>
        <v>2023</v>
      </c>
      <c r="P92" s="25">
        <f>DATE(YEAR(B92),MONTH(B92),1)</f>
        <v>45170</v>
      </c>
      <c r="Q92" s="22" t="str">
        <f>IF(N92&gt;Summary!$C$17,"Outlier","")</f>
        <v/>
      </c>
      <c r="R92" s="22" t="str">
        <f>IF(L92="","None",L92)</f>
        <v>SAVE10</v>
      </c>
    </row>
    <row r="93" spans="1:18" x14ac:dyDescent="0.2">
      <c r="A93" s="22" t="s">
        <v>475</v>
      </c>
      <c r="B93" s="23">
        <v>45000</v>
      </c>
      <c r="C93" s="22" t="s">
        <v>476</v>
      </c>
      <c r="D93" s="22" t="s">
        <v>63</v>
      </c>
      <c r="E93" s="22">
        <v>5</v>
      </c>
      <c r="F93" s="24">
        <v>492.75</v>
      </c>
      <c r="G93" s="22" t="s">
        <v>477</v>
      </c>
      <c r="H93" s="22" t="s">
        <v>75</v>
      </c>
      <c r="I93" s="22" t="s">
        <v>70</v>
      </c>
      <c r="J93" s="22" t="s">
        <v>478</v>
      </c>
      <c r="K93" s="22">
        <v>6</v>
      </c>
      <c r="L93" s="22" t="s">
        <v>84</v>
      </c>
      <c r="M93" s="22" t="s">
        <v>90</v>
      </c>
      <c r="N93" s="24">
        <v>2463.75</v>
      </c>
      <c r="O93" s="22">
        <f>YEAR(B93)</f>
        <v>2023</v>
      </c>
      <c r="P93" s="25">
        <f>DATE(YEAR(B93),MONTH(B93),1)</f>
        <v>44986</v>
      </c>
      <c r="Q93" s="22" t="str">
        <f>IF(N93&gt;Summary!$C$17,"Outlier","")</f>
        <v/>
      </c>
      <c r="R93" s="22" t="str">
        <f>IF(L93="","None",L93)</f>
        <v>WINTER15</v>
      </c>
    </row>
    <row r="94" spans="1:18" x14ac:dyDescent="0.2">
      <c r="A94" s="22" t="s">
        <v>479</v>
      </c>
      <c r="B94" s="23">
        <v>45453</v>
      </c>
      <c r="C94" s="22" t="s">
        <v>480</v>
      </c>
      <c r="D94" s="22" t="s">
        <v>62</v>
      </c>
      <c r="E94" s="22">
        <v>4</v>
      </c>
      <c r="F94" s="24">
        <v>48.61</v>
      </c>
      <c r="G94" s="22" t="s">
        <v>481</v>
      </c>
      <c r="H94" s="22" t="s">
        <v>79</v>
      </c>
      <c r="I94" s="22" t="s">
        <v>70</v>
      </c>
      <c r="J94" s="22" t="s">
        <v>482</v>
      </c>
      <c r="K94" s="22">
        <v>7</v>
      </c>
      <c r="L94" s="22" t="s">
        <v>82</v>
      </c>
      <c r="M94" s="22" t="s">
        <v>87</v>
      </c>
      <c r="N94" s="24">
        <v>194.44</v>
      </c>
      <c r="O94" s="22">
        <f>YEAR(B94)</f>
        <v>2024</v>
      </c>
      <c r="P94" s="25">
        <f>DATE(YEAR(B94),MONTH(B94),1)</f>
        <v>45444</v>
      </c>
      <c r="Q94" s="22" t="str">
        <f>IF(N94&gt;Summary!$C$17,"Outlier","")</f>
        <v/>
      </c>
      <c r="R94" s="22" t="str">
        <f>IF(L94="","None",L94)</f>
        <v>FREESHIP</v>
      </c>
    </row>
    <row r="95" spans="1:18" x14ac:dyDescent="0.2">
      <c r="A95" s="22" t="s">
        <v>483</v>
      </c>
      <c r="B95" s="23">
        <v>44940</v>
      </c>
      <c r="C95" s="22" t="s">
        <v>484</v>
      </c>
      <c r="D95" s="22" t="s">
        <v>66</v>
      </c>
      <c r="E95" s="22">
        <v>4</v>
      </c>
      <c r="F95" s="24">
        <v>431.01</v>
      </c>
      <c r="G95" s="22" t="s">
        <v>485</v>
      </c>
      <c r="H95" s="22" t="s">
        <v>76</v>
      </c>
      <c r="I95" s="22" t="s">
        <v>72</v>
      </c>
      <c r="J95" s="22" t="s">
        <v>486</v>
      </c>
      <c r="K95" s="22">
        <v>7</v>
      </c>
      <c r="L95" s="22"/>
      <c r="M95" s="22" t="s">
        <v>90</v>
      </c>
      <c r="N95" s="24">
        <v>1724.04</v>
      </c>
      <c r="O95" s="22">
        <f>YEAR(B95)</f>
        <v>2023</v>
      </c>
      <c r="P95" s="25">
        <f>DATE(YEAR(B95),MONTH(B95),1)</f>
        <v>44927</v>
      </c>
      <c r="Q95" s="22" t="str">
        <f>IF(N95&gt;Summary!$C$17,"Outlier","")</f>
        <v/>
      </c>
      <c r="R95" s="22" t="str">
        <f>IF(L95="","None",L95)</f>
        <v>None</v>
      </c>
    </row>
    <row r="96" spans="1:18" x14ac:dyDescent="0.2">
      <c r="A96" s="22" t="s">
        <v>487</v>
      </c>
      <c r="B96" s="23">
        <v>44968</v>
      </c>
      <c r="C96" s="22" t="s">
        <v>488</v>
      </c>
      <c r="D96" s="22" t="s">
        <v>61</v>
      </c>
      <c r="E96" s="22">
        <v>1</v>
      </c>
      <c r="F96" s="24">
        <v>531.17999999999995</v>
      </c>
      <c r="G96" s="22" t="s">
        <v>489</v>
      </c>
      <c r="H96" s="22" t="s">
        <v>78</v>
      </c>
      <c r="I96" s="22" t="s">
        <v>72</v>
      </c>
      <c r="J96" s="22" t="s">
        <v>490</v>
      </c>
      <c r="K96" s="22">
        <v>6</v>
      </c>
      <c r="L96" s="22" t="s">
        <v>84</v>
      </c>
      <c r="M96" s="22" t="s">
        <v>89</v>
      </c>
      <c r="N96" s="24">
        <v>531.17999999999995</v>
      </c>
      <c r="O96" s="22">
        <f>YEAR(B96)</f>
        <v>2023</v>
      </c>
      <c r="P96" s="25">
        <f>DATE(YEAR(B96),MONTH(B96),1)</f>
        <v>44958</v>
      </c>
      <c r="Q96" s="22" t="str">
        <f>IF(N96&gt;Summary!$C$17,"Outlier","")</f>
        <v/>
      </c>
      <c r="R96" s="22" t="str">
        <f>IF(L96="","None",L96)</f>
        <v>WINTER15</v>
      </c>
    </row>
    <row r="97" spans="1:18" x14ac:dyDescent="0.2">
      <c r="A97" s="22" t="s">
        <v>491</v>
      </c>
      <c r="B97" s="23">
        <v>45009</v>
      </c>
      <c r="C97" s="22" t="s">
        <v>492</v>
      </c>
      <c r="D97" s="22" t="s">
        <v>62</v>
      </c>
      <c r="E97" s="22">
        <v>4</v>
      </c>
      <c r="F97" s="24">
        <v>117.51</v>
      </c>
      <c r="G97" s="22" t="s">
        <v>493</v>
      </c>
      <c r="H97" s="22" t="s">
        <v>77</v>
      </c>
      <c r="I97" s="22" t="s">
        <v>72</v>
      </c>
      <c r="J97" s="22" t="s">
        <v>494</v>
      </c>
      <c r="K97" s="22">
        <v>7</v>
      </c>
      <c r="L97" s="22"/>
      <c r="M97" s="22" t="s">
        <v>90</v>
      </c>
      <c r="N97" s="24">
        <v>470.04</v>
      </c>
      <c r="O97" s="22">
        <f>YEAR(B97)</f>
        <v>2023</v>
      </c>
      <c r="P97" s="25">
        <f>DATE(YEAR(B97),MONTH(B97),1)</f>
        <v>44986</v>
      </c>
      <c r="Q97" s="22" t="str">
        <f>IF(N97&gt;Summary!$C$17,"Outlier","")</f>
        <v/>
      </c>
      <c r="R97" s="22" t="str">
        <f>IF(L97="","None",L97)</f>
        <v>None</v>
      </c>
    </row>
    <row r="98" spans="1:18" x14ac:dyDescent="0.2">
      <c r="A98" s="22" t="s">
        <v>495</v>
      </c>
      <c r="B98" s="23">
        <v>45444</v>
      </c>
      <c r="C98" s="22" t="s">
        <v>496</v>
      </c>
      <c r="D98" s="22" t="s">
        <v>67</v>
      </c>
      <c r="E98" s="22">
        <v>2</v>
      </c>
      <c r="F98" s="24">
        <v>232.83</v>
      </c>
      <c r="G98" s="22" t="s">
        <v>429</v>
      </c>
      <c r="H98" s="22" t="s">
        <v>78</v>
      </c>
      <c r="I98" s="22" t="s">
        <v>69</v>
      </c>
      <c r="J98" s="22" t="s">
        <v>497</v>
      </c>
      <c r="K98" s="22">
        <v>7</v>
      </c>
      <c r="L98" s="22"/>
      <c r="M98" s="22" t="s">
        <v>89</v>
      </c>
      <c r="N98" s="24">
        <v>465.66</v>
      </c>
      <c r="O98" s="22">
        <f>YEAR(B98)</f>
        <v>2024</v>
      </c>
      <c r="P98" s="25">
        <f>DATE(YEAR(B98),MONTH(B98),1)</f>
        <v>45444</v>
      </c>
      <c r="Q98" s="22" t="str">
        <f>IF(N98&gt;Summary!$C$17,"Outlier","")</f>
        <v/>
      </c>
      <c r="R98" s="22" t="str">
        <f>IF(L98="","None",L98)</f>
        <v>None</v>
      </c>
    </row>
    <row r="99" spans="1:18" x14ac:dyDescent="0.2">
      <c r="A99" s="22" t="s">
        <v>498</v>
      </c>
      <c r="B99" s="23">
        <v>45678</v>
      </c>
      <c r="C99" s="22" t="s">
        <v>499</v>
      </c>
      <c r="D99" s="22" t="s">
        <v>64</v>
      </c>
      <c r="E99" s="22">
        <v>5</v>
      </c>
      <c r="F99" s="24">
        <v>619.52</v>
      </c>
      <c r="G99" s="22" t="s">
        <v>500</v>
      </c>
      <c r="H99" s="22" t="s">
        <v>77</v>
      </c>
      <c r="I99" s="22" t="s">
        <v>71</v>
      </c>
      <c r="J99" s="22" t="s">
        <v>501</v>
      </c>
      <c r="K99" s="22">
        <v>9</v>
      </c>
      <c r="L99" s="22"/>
      <c r="M99" s="22" t="s">
        <v>86</v>
      </c>
      <c r="N99" s="24">
        <v>3097.6</v>
      </c>
      <c r="O99" s="22">
        <f>YEAR(B99)</f>
        <v>2025</v>
      </c>
      <c r="P99" s="25">
        <f>DATE(YEAR(B99),MONTH(B99),1)</f>
        <v>45658</v>
      </c>
      <c r="Q99" s="22" t="str">
        <f>IF(N99&gt;Summary!$C$17,"Outlier","")</f>
        <v/>
      </c>
      <c r="R99" s="22" t="str">
        <f>IF(L99="","None",L99)</f>
        <v>None</v>
      </c>
    </row>
    <row r="100" spans="1:18" x14ac:dyDescent="0.2">
      <c r="A100" s="22" t="s">
        <v>502</v>
      </c>
      <c r="B100" s="23">
        <v>44940</v>
      </c>
      <c r="C100" s="22" t="s">
        <v>503</v>
      </c>
      <c r="D100" s="22" t="s">
        <v>62</v>
      </c>
      <c r="E100" s="22">
        <v>2</v>
      </c>
      <c r="F100" s="24">
        <v>228.54</v>
      </c>
      <c r="G100" s="22" t="s">
        <v>504</v>
      </c>
      <c r="H100" s="22" t="s">
        <v>77</v>
      </c>
      <c r="I100" s="22" t="s">
        <v>71</v>
      </c>
      <c r="J100" s="22" t="s">
        <v>505</v>
      </c>
      <c r="K100" s="22">
        <v>3</v>
      </c>
      <c r="L100" s="22"/>
      <c r="M100" s="22" t="s">
        <v>86</v>
      </c>
      <c r="N100" s="24">
        <v>457.08</v>
      </c>
      <c r="O100" s="22">
        <f>YEAR(B100)</f>
        <v>2023</v>
      </c>
      <c r="P100" s="25">
        <f>DATE(YEAR(B100),MONTH(B100),1)</f>
        <v>44927</v>
      </c>
      <c r="Q100" s="22" t="str">
        <f>IF(N100&gt;Summary!$C$17,"Outlier","")</f>
        <v/>
      </c>
      <c r="R100" s="22" t="str">
        <f>IF(L100="","None",L100)</f>
        <v>None</v>
      </c>
    </row>
    <row r="101" spans="1:18" x14ac:dyDescent="0.2">
      <c r="A101" s="22" t="s">
        <v>506</v>
      </c>
      <c r="B101" s="23">
        <v>45759</v>
      </c>
      <c r="C101" s="22" t="s">
        <v>507</v>
      </c>
      <c r="D101" s="22" t="s">
        <v>62</v>
      </c>
      <c r="E101" s="22">
        <v>1</v>
      </c>
      <c r="F101" s="24">
        <v>201.58</v>
      </c>
      <c r="G101" s="22" t="s">
        <v>508</v>
      </c>
      <c r="H101" s="22" t="s">
        <v>77</v>
      </c>
      <c r="I101" s="22" t="s">
        <v>73</v>
      </c>
      <c r="J101" s="22" t="s">
        <v>509</v>
      </c>
      <c r="K101" s="22">
        <v>2</v>
      </c>
      <c r="L101" s="22" t="s">
        <v>84</v>
      </c>
      <c r="M101" s="22" t="s">
        <v>86</v>
      </c>
      <c r="N101" s="24">
        <v>201.58</v>
      </c>
      <c r="O101" s="22">
        <f>YEAR(B101)</f>
        <v>2025</v>
      </c>
      <c r="P101" s="25">
        <f>DATE(YEAR(B101),MONTH(B101),1)</f>
        <v>45748</v>
      </c>
      <c r="Q101" s="22" t="str">
        <f>IF(N101&gt;Summary!$C$17,"Outlier","")</f>
        <v/>
      </c>
      <c r="R101" s="22" t="str">
        <f>IF(L101="","None",L101)</f>
        <v>WINTER15</v>
      </c>
    </row>
    <row r="102" spans="1:18" x14ac:dyDescent="0.2">
      <c r="A102" s="22" t="s">
        <v>510</v>
      </c>
      <c r="B102" s="23">
        <v>44974</v>
      </c>
      <c r="C102" s="22" t="s">
        <v>511</v>
      </c>
      <c r="D102" s="22" t="s">
        <v>67</v>
      </c>
      <c r="E102" s="22">
        <v>3</v>
      </c>
      <c r="F102" s="24">
        <v>664.79</v>
      </c>
      <c r="G102" s="22" t="s">
        <v>512</v>
      </c>
      <c r="H102" s="22" t="s">
        <v>79</v>
      </c>
      <c r="I102" s="22" t="s">
        <v>69</v>
      </c>
      <c r="J102" s="22" t="s">
        <v>513</v>
      </c>
      <c r="K102" s="22">
        <v>6</v>
      </c>
      <c r="L102" s="22"/>
      <c r="M102" s="22" t="s">
        <v>87</v>
      </c>
      <c r="N102" s="24">
        <v>1994.37</v>
      </c>
      <c r="O102" s="22">
        <f>YEAR(B102)</f>
        <v>2023</v>
      </c>
      <c r="P102" s="25">
        <f>DATE(YEAR(B102),MONTH(B102),1)</f>
        <v>44958</v>
      </c>
      <c r="Q102" s="22" t="str">
        <f>IF(N102&gt;Summary!$C$17,"Outlier","")</f>
        <v/>
      </c>
      <c r="R102" s="22" t="str">
        <f>IF(L102="","None",L102)</f>
        <v>None</v>
      </c>
    </row>
    <row r="103" spans="1:18" x14ac:dyDescent="0.2">
      <c r="A103" s="22" t="s">
        <v>514</v>
      </c>
      <c r="B103" s="23">
        <v>45255</v>
      </c>
      <c r="C103" s="22" t="s">
        <v>515</v>
      </c>
      <c r="D103" s="22" t="s">
        <v>62</v>
      </c>
      <c r="E103" s="22">
        <v>1</v>
      </c>
      <c r="F103" s="24">
        <v>381.02</v>
      </c>
      <c r="G103" s="22" t="s">
        <v>516</v>
      </c>
      <c r="H103" s="22" t="s">
        <v>75</v>
      </c>
      <c r="I103" s="22" t="s">
        <v>70</v>
      </c>
      <c r="J103" s="22" t="s">
        <v>517</v>
      </c>
      <c r="K103" s="22">
        <v>6</v>
      </c>
      <c r="L103" s="22"/>
      <c r="M103" s="22" t="s">
        <v>88</v>
      </c>
      <c r="N103" s="24">
        <v>381.02</v>
      </c>
      <c r="O103" s="22">
        <f>YEAR(B103)</f>
        <v>2023</v>
      </c>
      <c r="P103" s="25">
        <f>DATE(YEAR(B103),MONTH(B103),1)</f>
        <v>45231</v>
      </c>
      <c r="Q103" s="22" t="str">
        <f>IF(N103&gt;Summary!$C$17,"Outlier","")</f>
        <v/>
      </c>
      <c r="R103" s="22" t="str">
        <f>IF(L103="","None",L103)</f>
        <v>None</v>
      </c>
    </row>
    <row r="104" spans="1:18" x14ac:dyDescent="0.2">
      <c r="A104" s="22" t="s">
        <v>518</v>
      </c>
      <c r="B104" s="23">
        <v>44993</v>
      </c>
      <c r="C104" s="22" t="s">
        <v>519</v>
      </c>
      <c r="D104" s="22" t="s">
        <v>63</v>
      </c>
      <c r="E104" s="22">
        <v>2</v>
      </c>
      <c r="F104" s="24">
        <v>70.34</v>
      </c>
      <c r="G104" s="22" t="s">
        <v>520</v>
      </c>
      <c r="H104" s="22" t="s">
        <v>78</v>
      </c>
      <c r="I104" s="22" t="s">
        <v>73</v>
      </c>
      <c r="J104" s="22" t="s">
        <v>521</v>
      </c>
      <c r="K104" s="22">
        <v>3</v>
      </c>
      <c r="L104" s="22" t="s">
        <v>82</v>
      </c>
      <c r="M104" s="22" t="s">
        <v>86</v>
      </c>
      <c r="N104" s="24">
        <v>140.68</v>
      </c>
      <c r="O104" s="22">
        <f>YEAR(B104)</f>
        <v>2023</v>
      </c>
      <c r="P104" s="25">
        <f>DATE(YEAR(B104),MONTH(B104),1)</f>
        <v>44986</v>
      </c>
      <c r="Q104" s="22" t="str">
        <f>IF(N104&gt;Summary!$C$17,"Outlier","")</f>
        <v/>
      </c>
      <c r="R104" s="22" t="str">
        <f>IF(L104="","None",L104)</f>
        <v>FREESHIP</v>
      </c>
    </row>
    <row r="105" spans="1:18" x14ac:dyDescent="0.2">
      <c r="A105" s="22" t="s">
        <v>522</v>
      </c>
      <c r="B105" s="23">
        <v>45682</v>
      </c>
      <c r="C105" s="22" t="s">
        <v>523</v>
      </c>
      <c r="D105" s="22" t="s">
        <v>67</v>
      </c>
      <c r="E105" s="22">
        <v>4</v>
      </c>
      <c r="F105" s="24">
        <v>218.43</v>
      </c>
      <c r="G105" s="22" t="s">
        <v>524</v>
      </c>
      <c r="H105" s="22" t="s">
        <v>76</v>
      </c>
      <c r="I105" s="22" t="s">
        <v>73</v>
      </c>
      <c r="J105" s="22" t="s">
        <v>525</v>
      </c>
      <c r="K105" s="22">
        <v>9</v>
      </c>
      <c r="L105" s="22" t="s">
        <v>83</v>
      </c>
      <c r="M105" s="22" t="s">
        <v>86</v>
      </c>
      <c r="N105" s="24">
        <v>873.72</v>
      </c>
      <c r="O105" s="22">
        <f>YEAR(B105)</f>
        <v>2025</v>
      </c>
      <c r="P105" s="25">
        <f>DATE(YEAR(B105),MONTH(B105),1)</f>
        <v>45658</v>
      </c>
      <c r="Q105" s="22" t="str">
        <f>IF(N105&gt;Summary!$C$17,"Outlier","")</f>
        <v/>
      </c>
      <c r="R105" s="22" t="str">
        <f>IF(L105="","None",L105)</f>
        <v>SAVE10</v>
      </c>
    </row>
    <row r="106" spans="1:18" x14ac:dyDescent="0.2">
      <c r="A106" s="22" t="s">
        <v>526</v>
      </c>
      <c r="B106" s="23">
        <v>45503</v>
      </c>
      <c r="C106" s="22" t="s">
        <v>527</v>
      </c>
      <c r="D106" s="22" t="s">
        <v>67</v>
      </c>
      <c r="E106" s="22">
        <v>1</v>
      </c>
      <c r="F106" s="24">
        <v>582.04</v>
      </c>
      <c r="G106" s="22" t="s">
        <v>528</v>
      </c>
      <c r="H106" s="22" t="s">
        <v>78</v>
      </c>
      <c r="I106" s="22" t="s">
        <v>69</v>
      </c>
      <c r="J106" s="22" t="s">
        <v>529</v>
      </c>
      <c r="K106" s="22">
        <v>1</v>
      </c>
      <c r="L106" s="22" t="s">
        <v>82</v>
      </c>
      <c r="M106" s="22" t="s">
        <v>86</v>
      </c>
      <c r="N106" s="24">
        <v>582.04</v>
      </c>
      <c r="O106" s="22">
        <f>YEAR(B106)</f>
        <v>2024</v>
      </c>
      <c r="P106" s="25">
        <f>DATE(YEAR(B106),MONTH(B106),1)</f>
        <v>45474</v>
      </c>
      <c r="Q106" s="22" t="str">
        <f>IF(N106&gt;Summary!$C$17,"Outlier","")</f>
        <v/>
      </c>
      <c r="R106" s="22" t="str">
        <f>IF(L106="","None",L106)</f>
        <v>FREESHIP</v>
      </c>
    </row>
    <row r="107" spans="1:18" x14ac:dyDescent="0.2">
      <c r="A107" s="22" t="s">
        <v>530</v>
      </c>
      <c r="B107" s="23">
        <v>45589</v>
      </c>
      <c r="C107" s="22" t="s">
        <v>531</v>
      </c>
      <c r="D107" s="22" t="s">
        <v>62</v>
      </c>
      <c r="E107" s="22">
        <v>3</v>
      </c>
      <c r="F107" s="24">
        <v>185.4</v>
      </c>
      <c r="G107" s="22" t="s">
        <v>532</v>
      </c>
      <c r="H107" s="22" t="s">
        <v>78</v>
      </c>
      <c r="I107" s="22" t="s">
        <v>73</v>
      </c>
      <c r="J107" s="22" t="s">
        <v>533</v>
      </c>
      <c r="K107" s="22">
        <v>7</v>
      </c>
      <c r="L107" s="22"/>
      <c r="M107" s="22" t="s">
        <v>87</v>
      </c>
      <c r="N107" s="24">
        <v>556.20000000000005</v>
      </c>
      <c r="O107" s="22">
        <f>YEAR(B107)</f>
        <v>2024</v>
      </c>
      <c r="P107" s="25">
        <f>DATE(YEAR(B107),MONTH(B107),1)</f>
        <v>45566</v>
      </c>
      <c r="Q107" s="22" t="str">
        <f>IF(N107&gt;Summary!$C$17,"Outlier","")</f>
        <v/>
      </c>
      <c r="R107" s="22" t="str">
        <f>IF(L107="","None",L107)</f>
        <v>None</v>
      </c>
    </row>
    <row r="108" spans="1:18" x14ac:dyDescent="0.2">
      <c r="A108" s="22" t="s">
        <v>534</v>
      </c>
      <c r="B108" s="23">
        <v>45177</v>
      </c>
      <c r="C108" s="22" t="s">
        <v>535</v>
      </c>
      <c r="D108" s="22" t="s">
        <v>66</v>
      </c>
      <c r="E108" s="22">
        <v>3</v>
      </c>
      <c r="F108" s="24">
        <v>465.05</v>
      </c>
      <c r="G108" s="22" t="s">
        <v>536</v>
      </c>
      <c r="H108" s="22" t="s">
        <v>76</v>
      </c>
      <c r="I108" s="22" t="s">
        <v>73</v>
      </c>
      <c r="J108" s="22" t="s">
        <v>537</v>
      </c>
      <c r="K108" s="22">
        <v>3</v>
      </c>
      <c r="L108" s="22" t="s">
        <v>83</v>
      </c>
      <c r="M108" s="22" t="s">
        <v>86</v>
      </c>
      <c r="N108" s="24">
        <v>1395.15</v>
      </c>
      <c r="O108" s="22">
        <f>YEAR(B108)</f>
        <v>2023</v>
      </c>
      <c r="P108" s="25">
        <f>DATE(YEAR(B108),MONTH(B108),1)</f>
        <v>45170</v>
      </c>
      <c r="Q108" s="22" t="str">
        <f>IF(N108&gt;Summary!$C$17,"Outlier","")</f>
        <v/>
      </c>
      <c r="R108" s="22" t="str">
        <f>IF(L108="","None",L108)</f>
        <v>SAVE10</v>
      </c>
    </row>
    <row r="109" spans="1:18" x14ac:dyDescent="0.2">
      <c r="A109" s="22" t="s">
        <v>100</v>
      </c>
      <c r="B109" s="23">
        <v>45012</v>
      </c>
      <c r="C109" s="22" t="s">
        <v>538</v>
      </c>
      <c r="D109" s="22" t="s">
        <v>62</v>
      </c>
      <c r="E109" s="22">
        <v>5</v>
      </c>
      <c r="F109" s="24">
        <v>670.75</v>
      </c>
      <c r="G109" s="22" t="s">
        <v>539</v>
      </c>
      <c r="H109" s="22" t="s">
        <v>78</v>
      </c>
      <c r="I109" s="22" t="s">
        <v>70</v>
      </c>
      <c r="J109" s="22" t="s">
        <v>540</v>
      </c>
      <c r="K109" s="22">
        <v>8</v>
      </c>
      <c r="L109" s="22" t="s">
        <v>82</v>
      </c>
      <c r="M109" s="22" t="s">
        <v>89</v>
      </c>
      <c r="N109" s="24">
        <v>3353.75</v>
      </c>
      <c r="O109" s="22">
        <f>YEAR(B109)</f>
        <v>2023</v>
      </c>
      <c r="P109" s="25">
        <f>DATE(YEAR(B109),MONTH(B109),1)</f>
        <v>44986</v>
      </c>
      <c r="Q109" s="22" t="str">
        <f>IF(N109&gt;Summary!$C$17,"Outlier","")</f>
        <v>Outlier</v>
      </c>
      <c r="R109" s="22" t="str">
        <f>IF(L109="","None",L109)</f>
        <v>FREESHIP</v>
      </c>
    </row>
    <row r="110" spans="1:18" x14ac:dyDescent="0.2">
      <c r="A110" s="22" t="s">
        <v>541</v>
      </c>
      <c r="B110" s="23">
        <v>45654</v>
      </c>
      <c r="C110" s="22" t="s">
        <v>542</v>
      </c>
      <c r="D110" s="22" t="s">
        <v>63</v>
      </c>
      <c r="E110" s="22">
        <v>5</v>
      </c>
      <c r="F110" s="24">
        <v>48.38</v>
      </c>
      <c r="G110" s="22" t="s">
        <v>543</v>
      </c>
      <c r="H110" s="22" t="s">
        <v>78</v>
      </c>
      <c r="I110" s="22" t="s">
        <v>69</v>
      </c>
      <c r="J110" s="22" t="s">
        <v>544</v>
      </c>
      <c r="K110" s="22">
        <v>9</v>
      </c>
      <c r="L110" s="22" t="s">
        <v>84</v>
      </c>
      <c r="M110" s="22" t="s">
        <v>86</v>
      </c>
      <c r="N110" s="24">
        <v>241.9</v>
      </c>
      <c r="O110" s="22">
        <f>YEAR(B110)</f>
        <v>2024</v>
      </c>
      <c r="P110" s="25">
        <f>DATE(YEAR(B110),MONTH(B110),1)</f>
        <v>45627</v>
      </c>
      <c r="Q110" s="22" t="str">
        <f>IF(N110&gt;Summary!$C$17,"Outlier","")</f>
        <v/>
      </c>
      <c r="R110" s="22" t="str">
        <f>IF(L110="","None",L110)</f>
        <v>WINTER15</v>
      </c>
    </row>
    <row r="111" spans="1:18" x14ac:dyDescent="0.2">
      <c r="A111" s="22" t="s">
        <v>545</v>
      </c>
      <c r="B111" s="23">
        <v>45186</v>
      </c>
      <c r="C111" s="22" t="s">
        <v>546</v>
      </c>
      <c r="D111" s="22" t="s">
        <v>66</v>
      </c>
      <c r="E111" s="22">
        <v>3</v>
      </c>
      <c r="F111" s="24">
        <v>592.87</v>
      </c>
      <c r="G111" s="22" t="s">
        <v>547</v>
      </c>
      <c r="H111" s="22" t="s">
        <v>78</v>
      </c>
      <c r="I111" s="22" t="s">
        <v>70</v>
      </c>
      <c r="J111" s="22" t="s">
        <v>548</v>
      </c>
      <c r="K111" s="22">
        <v>3</v>
      </c>
      <c r="L111" s="22" t="s">
        <v>82</v>
      </c>
      <c r="M111" s="22" t="s">
        <v>90</v>
      </c>
      <c r="N111" s="24">
        <v>1778.61</v>
      </c>
      <c r="O111" s="22">
        <f>YEAR(B111)</f>
        <v>2023</v>
      </c>
      <c r="P111" s="25">
        <f>DATE(YEAR(B111),MONTH(B111),1)</f>
        <v>45170</v>
      </c>
      <c r="Q111" s="22" t="str">
        <f>IF(N111&gt;Summary!$C$17,"Outlier","")</f>
        <v/>
      </c>
      <c r="R111" s="22" t="str">
        <f>IF(L111="","None",L111)</f>
        <v>FREESHIP</v>
      </c>
    </row>
    <row r="112" spans="1:18" x14ac:dyDescent="0.2">
      <c r="A112" s="22" t="s">
        <v>549</v>
      </c>
      <c r="B112" s="23">
        <v>45403</v>
      </c>
      <c r="C112" s="22" t="s">
        <v>550</v>
      </c>
      <c r="D112" s="22" t="s">
        <v>64</v>
      </c>
      <c r="E112" s="22">
        <v>1</v>
      </c>
      <c r="F112" s="24">
        <v>220.77</v>
      </c>
      <c r="G112" s="22" t="s">
        <v>551</v>
      </c>
      <c r="H112" s="22" t="s">
        <v>78</v>
      </c>
      <c r="I112" s="22" t="s">
        <v>71</v>
      </c>
      <c r="J112" s="22" t="s">
        <v>552</v>
      </c>
      <c r="K112" s="22">
        <v>5</v>
      </c>
      <c r="L112" s="22" t="s">
        <v>82</v>
      </c>
      <c r="M112" s="22" t="s">
        <v>89</v>
      </c>
      <c r="N112" s="24">
        <v>220.77</v>
      </c>
      <c r="O112" s="22">
        <f>YEAR(B112)</f>
        <v>2024</v>
      </c>
      <c r="P112" s="25">
        <f>DATE(YEAR(B112),MONTH(B112),1)</f>
        <v>45383</v>
      </c>
      <c r="Q112" s="22" t="str">
        <f>IF(N112&gt;Summary!$C$17,"Outlier","")</f>
        <v/>
      </c>
      <c r="R112" s="22" t="str">
        <f>IF(L112="","None",L112)</f>
        <v>FREESHIP</v>
      </c>
    </row>
    <row r="113" spans="1:18" x14ac:dyDescent="0.2">
      <c r="A113" s="22" t="s">
        <v>553</v>
      </c>
      <c r="B113" s="23">
        <v>45784</v>
      </c>
      <c r="C113" s="22" t="s">
        <v>554</v>
      </c>
      <c r="D113" s="22" t="s">
        <v>66</v>
      </c>
      <c r="E113" s="22">
        <v>3</v>
      </c>
      <c r="F113" s="24">
        <v>309.22000000000003</v>
      </c>
      <c r="G113" s="22" t="s">
        <v>555</v>
      </c>
      <c r="H113" s="22" t="s">
        <v>79</v>
      </c>
      <c r="I113" s="22" t="s">
        <v>73</v>
      </c>
      <c r="J113" s="22" t="s">
        <v>556</v>
      </c>
      <c r="K113" s="22">
        <v>7</v>
      </c>
      <c r="L113" s="22" t="s">
        <v>82</v>
      </c>
      <c r="M113" s="22" t="s">
        <v>88</v>
      </c>
      <c r="N113" s="24">
        <v>927.66</v>
      </c>
      <c r="O113" s="22">
        <f>YEAR(B113)</f>
        <v>2025</v>
      </c>
      <c r="P113" s="25">
        <f>DATE(YEAR(B113),MONTH(B113),1)</f>
        <v>45778</v>
      </c>
      <c r="Q113" s="22" t="str">
        <f>IF(N113&gt;Summary!$C$17,"Outlier","")</f>
        <v/>
      </c>
      <c r="R113" s="22" t="str">
        <f>IF(L113="","None",L113)</f>
        <v>FREESHIP</v>
      </c>
    </row>
    <row r="114" spans="1:18" x14ac:dyDescent="0.2">
      <c r="A114" s="22" t="s">
        <v>557</v>
      </c>
      <c r="B114" s="23">
        <v>44927</v>
      </c>
      <c r="C114" s="22" t="s">
        <v>558</v>
      </c>
      <c r="D114" s="22" t="s">
        <v>65</v>
      </c>
      <c r="E114" s="22">
        <v>1</v>
      </c>
      <c r="F114" s="24">
        <v>410.6</v>
      </c>
      <c r="G114" s="22" t="s">
        <v>559</v>
      </c>
      <c r="H114" s="22" t="s">
        <v>79</v>
      </c>
      <c r="I114" s="22" t="s">
        <v>73</v>
      </c>
      <c r="J114" s="22" t="s">
        <v>560</v>
      </c>
      <c r="K114" s="22">
        <v>2</v>
      </c>
      <c r="L114" s="22" t="s">
        <v>84</v>
      </c>
      <c r="M114" s="22" t="s">
        <v>90</v>
      </c>
      <c r="N114" s="24">
        <v>410.6</v>
      </c>
      <c r="O114" s="22">
        <f>YEAR(B114)</f>
        <v>2023</v>
      </c>
      <c r="P114" s="25">
        <f>DATE(YEAR(B114),MONTH(B114),1)</f>
        <v>44927</v>
      </c>
      <c r="Q114" s="22" t="str">
        <f>IF(N114&gt;Summary!$C$17,"Outlier","")</f>
        <v/>
      </c>
      <c r="R114" s="22" t="str">
        <f>IF(L114="","None",L114)</f>
        <v>WINTER15</v>
      </c>
    </row>
    <row r="115" spans="1:18" x14ac:dyDescent="0.2">
      <c r="A115" s="22" t="s">
        <v>561</v>
      </c>
      <c r="B115" s="23">
        <v>45308</v>
      </c>
      <c r="C115" s="22" t="s">
        <v>562</v>
      </c>
      <c r="D115" s="22" t="s">
        <v>63</v>
      </c>
      <c r="E115" s="22">
        <v>5</v>
      </c>
      <c r="F115" s="24">
        <v>190.08</v>
      </c>
      <c r="G115" s="22" t="s">
        <v>563</v>
      </c>
      <c r="H115" s="22" t="s">
        <v>75</v>
      </c>
      <c r="I115" s="22" t="s">
        <v>70</v>
      </c>
      <c r="J115" s="22" t="s">
        <v>564</v>
      </c>
      <c r="K115" s="22">
        <v>9</v>
      </c>
      <c r="L115" s="22" t="s">
        <v>82</v>
      </c>
      <c r="M115" s="22" t="s">
        <v>89</v>
      </c>
      <c r="N115" s="24">
        <v>950.4</v>
      </c>
      <c r="O115" s="22">
        <f>YEAR(B115)</f>
        <v>2024</v>
      </c>
      <c r="P115" s="25">
        <f>DATE(YEAR(B115),MONTH(B115),1)</f>
        <v>45292</v>
      </c>
      <c r="Q115" s="22" t="str">
        <f>IF(N115&gt;Summary!$C$17,"Outlier","")</f>
        <v/>
      </c>
      <c r="R115" s="22" t="str">
        <f>IF(L115="","None",L115)</f>
        <v>FREESHIP</v>
      </c>
    </row>
    <row r="116" spans="1:18" x14ac:dyDescent="0.2">
      <c r="A116" s="22" t="s">
        <v>565</v>
      </c>
      <c r="B116" s="23">
        <v>45684</v>
      </c>
      <c r="C116" s="22" t="s">
        <v>566</v>
      </c>
      <c r="D116" s="22" t="s">
        <v>65</v>
      </c>
      <c r="E116" s="22">
        <v>5</v>
      </c>
      <c r="F116" s="24">
        <v>498.48</v>
      </c>
      <c r="G116" s="22" t="s">
        <v>567</v>
      </c>
      <c r="H116" s="22" t="s">
        <v>79</v>
      </c>
      <c r="I116" s="22" t="s">
        <v>71</v>
      </c>
      <c r="J116" s="22" t="s">
        <v>568</v>
      </c>
      <c r="K116" s="22">
        <v>8</v>
      </c>
      <c r="L116" s="22" t="s">
        <v>83</v>
      </c>
      <c r="M116" s="22" t="s">
        <v>88</v>
      </c>
      <c r="N116" s="24">
        <v>2492.4</v>
      </c>
      <c r="O116" s="22">
        <f>YEAR(B116)</f>
        <v>2025</v>
      </c>
      <c r="P116" s="25">
        <f>DATE(YEAR(B116),MONTH(B116),1)</f>
        <v>45658</v>
      </c>
      <c r="Q116" s="22" t="str">
        <f>IF(N116&gt;Summary!$C$17,"Outlier","")</f>
        <v/>
      </c>
      <c r="R116" s="22" t="str">
        <f>IF(L116="","None",L116)</f>
        <v>SAVE10</v>
      </c>
    </row>
    <row r="117" spans="1:18" x14ac:dyDescent="0.2">
      <c r="A117" s="22" t="s">
        <v>569</v>
      </c>
      <c r="B117" s="23">
        <v>45257</v>
      </c>
      <c r="C117" s="22" t="s">
        <v>570</v>
      </c>
      <c r="D117" s="22" t="s">
        <v>67</v>
      </c>
      <c r="E117" s="22">
        <v>5</v>
      </c>
      <c r="F117" s="24">
        <v>374.99</v>
      </c>
      <c r="G117" s="22" t="s">
        <v>571</v>
      </c>
      <c r="H117" s="22" t="s">
        <v>79</v>
      </c>
      <c r="I117" s="22" t="s">
        <v>70</v>
      </c>
      <c r="J117" s="22" t="s">
        <v>572</v>
      </c>
      <c r="K117" s="22">
        <v>9</v>
      </c>
      <c r="L117" s="22" t="s">
        <v>83</v>
      </c>
      <c r="M117" s="22" t="s">
        <v>87</v>
      </c>
      <c r="N117" s="24">
        <v>1874.95</v>
      </c>
      <c r="O117" s="22">
        <f>YEAR(B117)</f>
        <v>2023</v>
      </c>
      <c r="P117" s="25">
        <f>DATE(YEAR(B117),MONTH(B117),1)</f>
        <v>45231</v>
      </c>
      <c r="Q117" s="22" t="str">
        <f>IF(N117&gt;Summary!$C$17,"Outlier","")</f>
        <v/>
      </c>
      <c r="R117" s="22" t="str">
        <f>IF(L117="","None",L117)</f>
        <v>SAVE10</v>
      </c>
    </row>
    <row r="118" spans="1:18" x14ac:dyDescent="0.2">
      <c r="A118" s="22" t="s">
        <v>573</v>
      </c>
      <c r="B118" s="23">
        <v>45004</v>
      </c>
      <c r="C118" s="22" t="s">
        <v>574</v>
      </c>
      <c r="D118" s="22" t="s">
        <v>62</v>
      </c>
      <c r="E118" s="22">
        <v>4</v>
      </c>
      <c r="F118" s="24">
        <v>291.35000000000002</v>
      </c>
      <c r="G118" s="22" t="s">
        <v>575</v>
      </c>
      <c r="H118" s="22" t="s">
        <v>76</v>
      </c>
      <c r="I118" s="22" t="s">
        <v>73</v>
      </c>
      <c r="J118" s="22" t="s">
        <v>576</v>
      </c>
      <c r="K118" s="22">
        <v>6</v>
      </c>
      <c r="L118" s="22" t="s">
        <v>84</v>
      </c>
      <c r="M118" s="22" t="s">
        <v>87</v>
      </c>
      <c r="N118" s="24">
        <v>1165.4000000000001</v>
      </c>
      <c r="O118" s="22">
        <f>YEAR(B118)</f>
        <v>2023</v>
      </c>
      <c r="P118" s="25">
        <f>DATE(YEAR(B118),MONTH(B118),1)</f>
        <v>44986</v>
      </c>
      <c r="Q118" s="22" t="str">
        <f>IF(N118&gt;Summary!$C$17,"Outlier","")</f>
        <v/>
      </c>
      <c r="R118" s="22" t="str">
        <f>IF(L118="","None",L118)</f>
        <v>WINTER15</v>
      </c>
    </row>
    <row r="119" spans="1:18" x14ac:dyDescent="0.2">
      <c r="A119" s="22" t="s">
        <v>577</v>
      </c>
      <c r="B119" s="23">
        <v>44993</v>
      </c>
      <c r="C119" s="22" t="s">
        <v>578</v>
      </c>
      <c r="D119" s="22" t="s">
        <v>64</v>
      </c>
      <c r="E119" s="22">
        <v>1</v>
      </c>
      <c r="F119" s="24">
        <v>535.5</v>
      </c>
      <c r="G119" s="22" t="s">
        <v>579</v>
      </c>
      <c r="H119" s="22" t="s">
        <v>78</v>
      </c>
      <c r="I119" s="22" t="s">
        <v>73</v>
      </c>
      <c r="J119" s="22" t="s">
        <v>580</v>
      </c>
      <c r="K119" s="22">
        <v>5</v>
      </c>
      <c r="L119" s="22" t="s">
        <v>84</v>
      </c>
      <c r="M119" s="22" t="s">
        <v>90</v>
      </c>
      <c r="N119" s="24">
        <v>535.5</v>
      </c>
      <c r="O119" s="22">
        <f>YEAR(B119)</f>
        <v>2023</v>
      </c>
      <c r="P119" s="25">
        <f>DATE(YEAR(B119),MONTH(B119),1)</f>
        <v>44986</v>
      </c>
      <c r="Q119" s="22" t="str">
        <f>IF(N119&gt;Summary!$C$17,"Outlier","")</f>
        <v/>
      </c>
      <c r="R119" s="22" t="str">
        <f>IF(L119="","None",L119)</f>
        <v>WINTER15</v>
      </c>
    </row>
    <row r="120" spans="1:18" x14ac:dyDescent="0.2">
      <c r="A120" s="22" t="s">
        <v>581</v>
      </c>
      <c r="B120" s="23">
        <v>45208</v>
      </c>
      <c r="C120" s="22" t="s">
        <v>582</v>
      </c>
      <c r="D120" s="22" t="s">
        <v>62</v>
      </c>
      <c r="E120" s="22">
        <v>5</v>
      </c>
      <c r="F120" s="24">
        <v>502.71</v>
      </c>
      <c r="G120" s="22" t="s">
        <v>583</v>
      </c>
      <c r="H120" s="22" t="s">
        <v>78</v>
      </c>
      <c r="I120" s="22" t="s">
        <v>70</v>
      </c>
      <c r="J120" s="22" t="s">
        <v>584</v>
      </c>
      <c r="K120" s="22">
        <v>7</v>
      </c>
      <c r="L120" s="22" t="s">
        <v>82</v>
      </c>
      <c r="M120" s="22" t="s">
        <v>88</v>
      </c>
      <c r="N120" s="24">
        <v>2513.5500000000002</v>
      </c>
      <c r="O120" s="22">
        <f>YEAR(B120)</f>
        <v>2023</v>
      </c>
      <c r="P120" s="25">
        <f>DATE(YEAR(B120),MONTH(B120),1)</f>
        <v>45200</v>
      </c>
      <c r="Q120" s="22" t="str">
        <f>IF(N120&gt;Summary!$C$17,"Outlier","")</f>
        <v/>
      </c>
      <c r="R120" s="22" t="str">
        <f>IF(L120="","None",L120)</f>
        <v>FREESHIP</v>
      </c>
    </row>
    <row r="121" spans="1:18" x14ac:dyDescent="0.2">
      <c r="A121" s="22" t="s">
        <v>585</v>
      </c>
      <c r="B121" s="23">
        <v>45819</v>
      </c>
      <c r="C121" s="22" t="s">
        <v>586</v>
      </c>
      <c r="D121" s="22" t="s">
        <v>66</v>
      </c>
      <c r="E121" s="22">
        <v>2</v>
      </c>
      <c r="F121" s="24">
        <v>534.66999999999996</v>
      </c>
      <c r="G121" s="22" t="s">
        <v>587</v>
      </c>
      <c r="H121" s="22" t="s">
        <v>77</v>
      </c>
      <c r="I121" s="22" t="s">
        <v>70</v>
      </c>
      <c r="J121" s="22" t="s">
        <v>588</v>
      </c>
      <c r="K121" s="22">
        <v>7</v>
      </c>
      <c r="L121" s="22" t="s">
        <v>82</v>
      </c>
      <c r="M121" s="22" t="s">
        <v>90</v>
      </c>
      <c r="N121" s="24">
        <v>1069.3399999999999</v>
      </c>
      <c r="O121" s="22">
        <f>YEAR(B121)</f>
        <v>2025</v>
      </c>
      <c r="P121" s="25">
        <f>DATE(YEAR(B121),MONTH(B121),1)</f>
        <v>45809</v>
      </c>
      <c r="Q121" s="22" t="str">
        <f>IF(N121&gt;Summary!$C$17,"Outlier","")</f>
        <v/>
      </c>
      <c r="R121" s="22" t="str">
        <f>IF(L121="","None",L121)</f>
        <v>FREESHIP</v>
      </c>
    </row>
    <row r="122" spans="1:18" x14ac:dyDescent="0.2">
      <c r="A122" s="22" t="s">
        <v>589</v>
      </c>
      <c r="B122" s="23">
        <v>45027</v>
      </c>
      <c r="C122" s="22" t="s">
        <v>590</v>
      </c>
      <c r="D122" s="22" t="s">
        <v>64</v>
      </c>
      <c r="E122" s="22">
        <v>4</v>
      </c>
      <c r="F122" s="24">
        <v>629.34</v>
      </c>
      <c r="G122" s="22" t="s">
        <v>143</v>
      </c>
      <c r="H122" s="22" t="s">
        <v>75</v>
      </c>
      <c r="I122" s="22" t="s">
        <v>73</v>
      </c>
      <c r="J122" s="22" t="s">
        <v>591</v>
      </c>
      <c r="K122" s="22">
        <v>4</v>
      </c>
      <c r="L122" s="22" t="s">
        <v>84</v>
      </c>
      <c r="M122" s="22" t="s">
        <v>89</v>
      </c>
      <c r="N122" s="24">
        <v>2517.36</v>
      </c>
      <c r="O122" s="22">
        <f>YEAR(B122)</f>
        <v>2023</v>
      </c>
      <c r="P122" s="25">
        <f>DATE(YEAR(B122),MONTH(B122),1)</f>
        <v>45017</v>
      </c>
      <c r="Q122" s="22" t="str">
        <f>IF(N122&gt;Summary!$C$17,"Outlier","")</f>
        <v/>
      </c>
      <c r="R122" s="22" t="str">
        <f>IF(L122="","None",L122)</f>
        <v>WINTER15</v>
      </c>
    </row>
    <row r="123" spans="1:18" x14ac:dyDescent="0.2">
      <c r="A123" s="22" t="s">
        <v>592</v>
      </c>
      <c r="B123" s="23">
        <v>45260</v>
      </c>
      <c r="C123" s="22" t="s">
        <v>593</v>
      </c>
      <c r="D123" s="22" t="s">
        <v>66</v>
      </c>
      <c r="E123" s="22">
        <v>1</v>
      </c>
      <c r="F123" s="24">
        <v>410.78</v>
      </c>
      <c r="G123" s="22" t="s">
        <v>594</v>
      </c>
      <c r="H123" s="22" t="s">
        <v>75</v>
      </c>
      <c r="I123" s="22" t="s">
        <v>73</v>
      </c>
      <c r="J123" s="22" t="s">
        <v>595</v>
      </c>
      <c r="K123" s="22">
        <v>1</v>
      </c>
      <c r="L123" s="22" t="s">
        <v>82</v>
      </c>
      <c r="M123" s="22" t="s">
        <v>89</v>
      </c>
      <c r="N123" s="24">
        <v>410.78</v>
      </c>
      <c r="O123" s="22">
        <f>YEAR(B123)</f>
        <v>2023</v>
      </c>
      <c r="P123" s="25">
        <f>DATE(YEAR(B123),MONTH(B123),1)</f>
        <v>45231</v>
      </c>
      <c r="Q123" s="22" t="str">
        <f>IF(N123&gt;Summary!$C$17,"Outlier","")</f>
        <v/>
      </c>
      <c r="R123" s="22" t="str">
        <f>IF(L123="","None",L123)</f>
        <v>FREESHIP</v>
      </c>
    </row>
    <row r="124" spans="1:18" x14ac:dyDescent="0.2">
      <c r="A124" s="22" t="s">
        <v>596</v>
      </c>
      <c r="B124" s="23">
        <v>45397</v>
      </c>
      <c r="C124" s="22" t="s">
        <v>597</v>
      </c>
      <c r="D124" s="22" t="s">
        <v>63</v>
      </c>
      <c r="E124" s="22">
        <v>2</v>
      </c>
      <c r="F124" s="24">
        <v>533.02</v>
      </c>
      <c r="G124" s="22" t="s">
        <v>598</v>
      </c>
      <c r="H124" s="22" t="s">
        <v>78</v>
      </c>
      <c r="I124" s="22" t="s">
        <v>70</v>
      </c>
      <c r="J124" s="22" t="s">
        <v>599</v>
      </c>
      <c r="K124" s="22">
        <v>2</v>
      </c>
      <c r="L124" s="22"/>
      <c r="M124" s="22" t="s">
        <v>87</v>
      </c>
      <c r="N124" s="24">
        <v>1066.04</v>
      </c>
      <c r="O124" s="22">
        <f>YEAR(B124)</f>
        <v>2024</v>
      </c>
      <c r="P124" s="25">
        <f>DATE(YEAR(B124),MONTH(B124),1)</f>
        <v>45383</v>
      </c>
      <c r="Q124" s="22" t="str">
        <f>IF(N124&gt;Summary!$C$17,"Outlier","")</f>
        <v/>
      </c>
      <c r="R124" s="22" t="str">
        <f>IF(L124="","None",L124)</f>
        <v>None</v>
      </c>
    </row>
    <row r="125" spans="1:18" x14ac:dyDescent="0.2">
      <c r="A125" s="22" t="s">
        <v>600</v>
      </c>
      <c r="B125" s="23">
        <v>45113</v>
      </c>
      <c r="C125" s="22" t="s">
        <v>601</v>
      </c>
      <c r="D125" s="22" t="s">
        <v>66</v>
      </c>
      <c r="E125" s="22">
        <v>3</v>
      </c>
      <c r="F125" s="24">
        <v>278.04000000000002</v>
      </c>
      <c r="G125" s="22" t="s">
        <v>602</v>
      </c>
      <c r="H125" s="22" t="s">
        <v>79</v>
      </c>
      <c r="I125" s="22" t="s">
        <v>69</v>
      </c>
      <c r="J125" s="22" t="s">
        <v>603</v>
      </c>
      <c r="K125" s="22">
        <v>5</v>
      </c>
      <c r="L125" s="22"/>
      <c r="M125" s="22" t="s">
        <v>89</v>
      </c>
      <c r="N125" s="24">
        <v>834.12</v>
      </c>
      <c r="O125" s="22">
        <f>YEAR(B125)</f>
        <v>2023</v>
      </c>
      <c r="P125" s="25">
        <f>DATE(YEAR(B125),MONTH(B125),1)</f>
        <v>45108</v>
      </c>
      <c r="Q125" s="22" t="str">
        <f>IF(N125&gt;Summary!$C$17,"Outlier","")</f>
        <v/>
      </c>
      <c r="R125" s="22" t="str">
        <f>IF(L125="","None",L125)</f>
        <v>None</v>
      </c>
    </row>
    <row r="126" spans="1:18" x14ac:dyDescent="0.2">
      <c r="A126" s="22" t="s">
        <v>604</v>
      </c>
      <c r="B126" s="23">
        <v>45501</v>
      </c>
      <c r="C126" s="22" t="s">
        <v>605</v>
      </c>
      <c r="D126" s="22" t="s">
        <v>62</v>
      </c>
      <c r="E126" s="22">
        <v>4</v>
      </c>
      <c r="F126" s="24">
        <v>283.79000000000002</v>
      </c>
      <c r="G126" s="22" t="s">
        <v>606</v>
      </c>
      <c r="H126" s="22" t="s">
        <v>79</v>
      </c>
      <c r="I126" s="22" t="s">
        <v>71</v>
      </c>
      <c r="J126" s="22" t="s">
        <v>607</v>
      </c>
      <c r="K126" s="22">
        <v>8</v>
      </c>
      <c r="L126" s="22"/>
      <c r="M126" s="22" t="s">
        <v>88</v>
      </c>
      <c r="N126" s="24">
        <v>1135.1600000000001</v>
      </c>
      <c r="O126" s="22">
        <f>YEAR(B126)</f>
        <v>2024</v>
      </c>
      <c r="P126" s="25">
        <f>DATE(YEAR(B126),MONTH(B126),1)</f>
        <v>45474</v>
      </c>
      <c r="Q126" s="22" t="str">
        <f>IF(N126&gt;Summary!$C$17,"Outlier","")</f>
        <v/>
      </c>
      <c r="R126" s="22" t="str">
        <f>IF(L126="","None",L126)</f>
        <v>None</v>
      </c>
    </row>
    <row r="127" spans="1:18" x14ac:dyDescent="0.2">
      <c r="A127" s="22" t="s">
        <v>608</v>
      </c>
      <c r="B127" s="23">
        <v>45602</v>
      </c>
      <c r="C127" s="22" t="s">
        <v>609</v>
      </c>
      <c r="D127" s="22" t="s">
        <v>67</v>
      </c>
      <c r="E127" s="22">
        <v>2</v>
      </c>
      <c r="F127" s="24">
        <v>512.65</v>
      </c>
      <c r="G127" s="22" t="s">
        <v>610</v>
      </c>
      <c r="H127" s="22" t="s">
        <v>76</v>
      </c>
      <c r="I127" s="22" t="s">
        <v>70</v>
      </c>
      <c r="J127" s="22" t="s">
        <v>611</v>
      </c>
      <c r="K127" s="22">
        <v>5</v>
      </c>
      <c r="L127" s="22" t="s">
        <v>83</v>
      </c>
      <c r="M127" s="22" t="s">
        <v>86</v>
      </c>
      <c r="N127" s="24">
        <v>1025.3</v>
      </c>
      <c r="O127" s="22">
        <f>YEAR(B127)</f>
        <v>2024</v>
      </c>
      <c r="P127" s="25">
        <f>DATE(YEAR(B127),MONTH(B127),1)</f>
        <v>45597</v>
      </c>
      <c r="Q127" s="22" t="str">
        <f>IF(N127&gt;Summary!$C$17,"Outlier","")</f>
        <v/>
      </c>
      <c r="R127" s="22" t="str">
        <f>IF(L127="","None",L127)</f>
        <v>SAVE10</v>
      </c>
    </row>
    <row r="128" spans="1:18" x14ac:dyDescent="0.2">
      <c r="A128" s="22" t="s">
        <v>612</v>
      </c>
      <c r="B128" s="23">
        <v>45780</v>
      </c>
      <c r="C128" s="22" t="s">
        <v>613</v>
      </c>
      <c r="D128" s="22" t="s">
        <v>66</v>
      </c>
      <c r="E128" s="22">
        <v>4</v>
      </c>
      <c r="F128" s="24">
        <v>275.5</v>
      </c>
      <c r="G128" s="22" t="s">
        <v>614</v>
      </c>
      <c r="H128" s="22" t="s">
        <v>78</v>
      </c>
      <c r="I128" s="22" t="s">
        <v>70</v>
      </c>
      <c r="J128" s="22" t="s">
        <v>615</v>
      </c>
      <c r="K128" s="22">
        <v>8</v>
      </c>
      <c r="L128" s="22" t="s">
        <v>82</v>
      </c>
      <c r="M128" s="22" t="s">
        <v>88</v>
      </c>
      <c r="N128" s="24">
        <v>1102</v>
      </c>
      <c r="O128" s="22">
        <f>YEAR(B128)</f>
        <v>2025</v>
      </c>
      <c r="P128" s="25">
        <f>DATE(YEAR(B128),MONTH(B128),1)</f>
        <v>45778</v>
      </c>
      <c r="Q128" s="22" t="str">
        <f>IF(N128&gt;Summary!$C$17,"Outlier","")</f>
        <v/>
      </c>
      <c r="R128" s="22" t="str">
        <f>IF(L128="","None",L128)</f>
        <v>FREESHIP</v>
      </c>
    </row>
    <row r="129" spans="1:18" x14ac:dyDescent="0.2">
      <c r="A129" s="22" t="s">
        <v>616</v>
      </c>
      <c r="B129" s="23">
        <v>45148</v>
      </c>
      <c r="C129" s="22" t="s">
        <v>617</v>
      </c>
      <c r="D129" s="22" t="s">
        <v>66</v>
      </c>
      <c r="E129" s="22">
        <v>3</v>
      </c>
      <c r="F129" s="24">
        <v>469.32</v>
      </c>
      <c r="G129" s="22" t="s">
        <v>618</v>
      </c>
      <c r="H129" s="22" t="s">
        <v>77</v>
      </c>
      <c r="I129" s="22" t="s">
        <v>70</v>
      </c>
      <c r="J129" s="22" t="s">
        <v>619</v>
      </c>
      <c r="K129" s="22">
        <v>3</v>
      </c>
      <c r="L129" s="22"/>
      <c r="M129" s="22" t="s">
        <v>88</v>
      </c>
      <c r="N129" s="24">
        <v>1407.96</v>
      </c>
      <c r="O129" s="22">
        <f>YEAR(B129)</f>
        <v>2023</v>
      </c>
      <c r="P129" s="25">
        <f>DATE(YEAR(B129),MONTH(B129),1)</f>
        <v>45139</v>
      </c>
      <c r="Q129" s="22" t="str">
        <f>IF(N129&gt;Summary!$C$17,"Outlier","")</f>
        <v/>
      </c>
      <c r="R129" s="22" t="str">
        <f>IF(L129="","None",L129)</f>
        <v>None</v>
      </c>
    </row>
    <row r="130" spans="1:18" x14ac:dyDescent="0.2">
      <c r="A130" s="22" t="s">
        <v>620</v>
      </c>
      <c r="B130" s="23">
        <v>44974</v>
      </c>
      <c r="C130" s="22" t="s">
        <v>621</v>
      </c>
      <c r="D130" s="22" t="s">
        <v>64</v>
      </c>
      <c r="E130" s="22">
        <v>4</v>
      </c>
      <c r="F130" s="24">
        <v>21.07</v>
      </c>
      <c r="G130" s="22" t="s">
        <v>622</v>
      </c>
      <c r="H130" s="22" t="s">
        <v>78</v>
      </c>
      <c r="I130" s="22" t="s">
        <v>69</v>
      </c>
      <c r="J130" s="22" t="s">
        <v>623</v>
      </c>
      <c r="K130" s="22">
        <v>4</v>
      </c>
      <c r="L130" s="22" t="s">
        <v>82</v>
      </c>
      <c r="M130" s="22" t="s">
        <v>88</v>
      </c>
      <c r="N130" s="24">
        <v>84.28</v>
      </c>
      <c r="O130" s="22">
        <f>YEAR(B130)</f>
        <v>2023</v>
      </c>
      <c r="P130" s="25">
        <f>DATE(YEAR(B130),MONTH(B130),1)</f>
        <v>44958</v>
      </c>
      <c r="Q130" s="22" t="str">
        <f>IF(N130&gt;Summary!$C$17,"Outlier","")</f>
        <v/>
      </c>
      <c r="R130" s="22" t="str">
        <f>IF(L130="","None",L130)</f>
        <v>FREESHIP</v>
      </c>
    </row>
    <row r="131" spans="1:18" x14ac:dyDescent="0.2">
      <c r="A131" s="22" t="s">
        <v>624</v>
      </c>
      <c r="B131" s="23">
        <v>45226</v>
      </c>
      <c r="C131" s="22" t="s">
        <v>625</v>
      </c>
      <c r="D131" s="22" t="s">
        <v>63</v>
      </c>
      <c r="E131" s="22">
        <v>4</v>
      </c>
      <c r="F131" s="24">
        <v>263.93</v>
      </c>
      <c r="G131" s="22" t="s">
        <v>626</v>
      </c>
      <c r="H131" s="22" t="s">
        <v>77</v>
      </c>
      <c r="I131" s="22" t="s">
        <v>70</v>
      </c>
      <c r="J131" s="22" t="s">
        <v>627</v>
      </c>
      <c r="K131" s="22">
        <v>4</v>
      </c>
      <c r="L131" s="22" t="s">
        <v>82</v>
      </c>
      <c r="M131" s="22" t="s">
        <v>87</v>
      </c>
      <c r="N131" s="24">
        <v>1055.72</v>
      </c>
      <c r="O131" s="22">
        <f>YEAR(B131)</f>
        <v>2023</v>
      </c>
      <c r="P131" s="25">
        <f>DATE(YEAR(B131),MONTH(B131),1)</f>
        <v>45200</v>
      </c>
      <c r="Q131" s="22" t="str">
        <f>IF(N131&gt;Summary!$C$17,"Outlier","")</f>
        <v/>
      </c>
      <c r="R131" s="22" t="str">
        <f>IF(L131="","None",L131)</f>
        <v>FREESHIP</v>
      </c>
    </row>
    <row r="132" spans="1:18" x14ac:dyDescent="0.2">
      <c r="A132" s="22" t="s">
        <v>628</v>
      </c>
      <c r="B132" s="23">
        <v>45679</v>
      </c>
      <c r="C132" s="22" t="s">
        <v>629</v>
      </c>
      <c r="D132" s="22" t="s">
        <v>66</v>
      </c>
      <c r="E132" s="22">
        <v>3</v>
      </c>
      <c r="F132" s="24">
        <v>501.3</v>
      </c>
      <c r="G132" s="22" t="s">
        <v>630</v>
      </c>
      <c r="H132" s="22" t="s">
        <v>79</v>
      </c>
      <c r="I132" s="22" t="s">
        <v>73</v>
      </c>
      <c r="J132" s="22" t="s">
        <v>631</v>
      </c>
      <c r="K132" s="22">
        <v>3</v>
      </c>
      <c r="L132" s="22" t="s">
        <v>84</v>
      </c>
      <c r="M132" s="22" t="s">
        <v>87</v>
      </c>
      <c r="N132" s="24">
        <v>1503.9</v>
      </c>
      <c r="O132" s="22">
        <f>YEAR(B132)</f>
        <v>2025</v>
      </c>
      <c r="P132" s="25">
        <f>DATE(YEAR(B132),MONTH(B132),1)</f>
        <v>45658</v>
      </c>
      <c r="Q132" s="22" t="str">
        <f>IF(N132&gt;Summary!$C$17,"Outlier","")</f>
        <v/>
      </c>
      <c r="R132" s="22" t="str">
        <f>IF(L132="","None",L132)</f>
        <v>WINTER15</v>
      </c>
    </row>
    <row r="133" spans="1:18" x14ac:dyDescent="0.2">
      <c r="A133" s="22" t="s">
        <v>632</v>
      </c>
      <c r="B133" s="23">
        <v>44934</v>
      </c>
      <c r="C133" s="22" t="s">
        <v>633</v>
      </c>
      <c r="D133" s="22" t="s">
        <v>64</v>
      </c>
      <c r="E133" s="22">
        <v>1</v>
      </c>
      <c r="F133" s="24">
        <v>84.8</v>
      </c>
      <c r="G133" s="22" t="s">
        <v>634</v>
      </c>
      <c r="H133" s="22" t="s">
        <v>78</v>
      </c>
      <c r="I133" s="22" t="s">
        <v>71</v>
      </c>
      <c r="J133" s="22" t="s">
        <v>635</v>
      </c>
      <c r="K133" s="22">
        <v>5</v>
      </c>
      <c r="L133" s="22"/>
      <c r="M133" s="22" t="s">
        <v>89</v>
      </c>
      <c r="N133" s="24">
        <v>84.8</v>
      </c>
      <c r="O133" s="22">
        <f>YEAR(B133)</f>
        <v>2023</v>
      </c>
      <c r="P133" s="25">
        <f>DATE(YEAR(B133),MONTH(B133),1)</f>
        <v>44927</v>
      </c>
      <c r="Q133" s="22" t="str">
        <f>IF(N133&gt;Summary!$C$17,"Outlier","")</f>
        <v/>
      </c>
      <c r="R133" s="22" t="str">
        <f>IF(L133="","None",L133)</f>
        <v>None</v>
      </c>
    </row>
    <row r="134" spans="1:18" x14ac:dyDescent="0.2">
      <c r="A134" s="22" t="s">
        <v>636</v>
      </c>
      <c r="B134" s="23">
        <v>45013</v>
      </c>
      <c r="C134" s="22" t="s">
        <v>637</v>
      </c>
      <c r="D134" s="22" t="s">
        <v>64</v>
      </c>
      <c r="E134" s="22">
        <v>4</v>
      </c>
      <c r="F134" s="24">
        <v>450.75</v>
      </c>
      <c r="G134" s="22" t="s">
        <v>638</v>
      </c>
      <c r="H134" s="22" t="s">
        <v>76</v>
      </c>
      <c r="I134" s="22" t="s">
        <v>70</v>
      </c>
      <c r="J134" s="22" t="s">
        <v>639</v>
      </c>
      <c r="K134" s="22">
        <v>6</v>
      </c>
      <c r="L134" s="22" t="s">
        <v>84</v>
      </c>
      <c r="M134" s="22" t="s">
        <v>86</v>
      </c>
      <c r="N134" s="24">
        <v>1803</v>
      </c>
      <c r="O134" s="22">
        <f>YEAR(B134)</f>
        <v>2023</v>
      </c>
      <c r="P134" s="25">
        <f>DATE(YEAR(B134),MONTH(B134),1)</f>
        <v>44986</v>
      </c>
      <c r="Q134" s="22" t="str">
        <f>IF(N134&gt;Summary!$C$17,"Outlier","")</f>
        <v/>
      </c>
      <c r="R134" s="22" t="str">
        <f>IF(L134="","None",L134)</f>
        <v>WINTER15</v>
      </c>
    </row>
    <row r="135" spans="1:18" x14ac:dyDescent="0.2">
      <c r="A135" s="22" t="s">
        <v>640</v>
      </c>
      <c r="B135" s="23">
        <v>45828</v>
      </c>
      <c r="C135" s="22" t="s">
        <v>641</v>
      </c>
      <c r="D135" s="22" t="s">
        <v>61</v>
      </c>
      <c r="E135" s="22">
        <v>4</v>
      </c>
      <c r="F135" s="24">
        <v>302.05</v>
      </c>
      <c r="G135" s="22" t="s">
        <v>642</v>
      </c>
      <c r="H135" s="22" t="s">
        <v>77</v>
      </c>
      <c r="I135" s="22" t="s">
        <v>73</v>
      </c>
      <c r="J135" s="22" t="s">
        <v>643</v>
      </c>
      <c r="K135" s="22">
        <v>6</v>
      </c>
      <c r="L135" s="22" t="s">
        <v>83</v>
      </c>
      <c r="M135" s="22" t="s">
        <v>88</v>
      </c>
      <c r="N135" s="24">
        <v>1208.2</v>
      </c>
      <c r="O135" s="22">
        <f>YEAR(B135)</f>
        <v>2025</v>
      </c>
      <c r="P135" s="25">
        <f>DATE(YEAR(B135),MONTH(B135),1)</f>
        <v>45809</v>
      </c>
      <c r="Q135" s="22" t="str">
        <f>IF(N135&gt;Summary!$C$17,"Outlier","")</f>
        <v/>
      </c>
      <c r="R135" s="22" t="str">
        <f>IF(L135="","None",L135)</f>
        <v>SAVE10</v>
      </c>
    </row>
    <row r="136" spans="1:18" x14ac:dyDescent="0.2">
      <c r="A136" s="22" t="s">
        <v>644</v>
      </c>
      <c r="B136" s="23">
        <v>45831</v>
      </c>
      <c r="C136" s="22" t="s">
        <v>645</v>
      </c>
      <c r="D136" s="22" t="s">
        <v>63</v>
      </c>
      <c r="E136" s="22">
        <v>2</v>
      </c>
      <c r="F136" s="24">
        <v>199.7</v>
      </c>
      <c r="G136" s="22" t="s">
        <v>638</v>
      </c>
      <c r="H136" s="22" t="s">
        <v>75</v>
      </c>
      <c r="I136" s="22" t="s">
        <v>71</v>
      </c>
      <c r="J136" s="22" t="s">
        <v>646</v>
      </c>
      <c r="K136" s="22">
        <v>4</v>
      </c>
      <c r="L136" s="22"/>
      <c r="M136" s="22" t="s">
        <v>86</v>
      </c>
      <c r="N136" s="24">
        <v>399.4</v>
      </c>
      <c r="O136" s="22">
        <f>YEAR(B136)</f>
        <v>2025</v>
      </c>
      <c r="P136" s="25">
        <f>DATE(YEAR(B136),MONTH(B136),1)</f>
        <v>45809</v>
      </c>
      <c r="Q136" s="22" t="str">
        <f>IF(N136&gt;Summary!$C$17,"Outlier","")</f>
        <v/>
      </c>
      <c r="R136" s="22" t="str">
        <f>IF(L136="","None",L136)</f>
        <v>None</v>
      </c>
    </row>
    <row r="137" spans="1:18" x14ac:dyDescent="0.2">
      <c r="A137" s="22" t="s">
        <v>647</v>
      </c>
      <c r="B137" s="23">
        <v>45142</v>
      </c>
      <c r="C137" s="22" t="s">
        <v>648</v>
      </c>
      <c r="D137" s="22" t="s">
        <v>62</v>
      </c>
      <c r="E137" s="22">
        <v>2</v>
      </c>
      <c r="F137" s="24">
        <v>68.81</v>
      </c>
      <c r="G137" s="22" t="s">
        <v>649</v>
      </c>
      <c r="H137" s="22" t="s">
        <v>78</v>
      </c>
      <c r="I137" s="22" t="s">
        <v>70</v>
      </c>
      <c r="J137" s="22" t="s">
        <v>650</v>
      </c>
      <c r="K137" s="22">
        <v>5</v>
      </c>
      <c r="L137" s="22" t="s">
        <v>83</v>
      </c>
      <c r="M137" s="22" t="s">
        <v>90</v>
      </c>
      <c r="N137" s="24">
        <v>137.62</v>
      </c>
      <c r="O137" s="22">
        <f>YEAR(B137)</f>
        <v>2023</v>
      </c>
      <c r="P137" s="25">
        <f>DATE(YEAR(B137),MONTH(B137),1)</f>
        <v>45139</v>
      </c>
      <c r="Q137" s="22" t="str">
        <f>IF(N137&gt;Summary!$C$17,"Outlier","")</f>
        <v/>
      </c>
      <c r="R137" s="22" t="str">
        <f>IF(L137="","None",L137)</f>
        <v>SAVE10</v>
      </c>
    </row>
    <row r="138" spans="1:18" x14ac:dyDescent="0.2">
      <c r="A138" s="22" t="s">
        <v>651</v>
      </c>
      <c r="B138" s="23">
        <v>45409</v>
      </c>
      <c r="C138" s="22" t="s">
        <v>652</v>
      </c>
      <c r="D138" s="22" t="s">
        <v>63</v>
      </c>
      <c r="E138" s="22">
        <v>1</v>
      </c>
      <c r="F138" s="24">
        <v>44.35</v>
      </c>
      <c r="G138" s="22" t="s">
        <v>653</v>
      </c>
      <c r="H138" s="22" t="s">
        <v>78</v>
      </c>
      <c r="I138" s="22" t="s">
        <v>73</v>
      </c>
      <c r="J138" s="22" t="s">
        <v>654</v>
      </c>
      <c r="K138" s="22">
        <v>1</v>
      </c>
      <c r="L138" s="22" t="s">
        <v>83</v>
      </c>
      <c r="M138" s="22" t="s">
        <v>89</v>
      </c>
      <c r="N138" s="24">
        <v>44.35</v>
      </c>
      <c r="O138" s="22">
        <f>YEAR(B138)</f>
        <v>2024</v>
      </c>
      <c r="P138" s="25">
        <f>DATE(YEAR(B138),MONTH(B138),1)</f>
        <v>45383</v>
      </c>
      <c r="Q138" s="22" t="str">
        <f>IF(N138&gt;Summary!$C$17,"Outlier","")</f>
        <v/>
      </c>
      <c r="R138" s="22" t="str">
        <f>IF(L138="","None",L138)</f>
        <v>SAVE10</v>
      </c>
    </row>
    <row r="139" spans="1:18" x14ac:dyDescent="0.2">
      <c r="A139" s="22" t="s">
        <v>655</v>
      </c>
      <c r="B139" s="23">
        <v>45622</v>
      </c>
      <c r="C139" s="22" t="s">
        <v>656</v>
      </c>
      <c r="D139" s="22" t="s">
        <v>65</v>
      </c>
      <c r="E139" s="22">
        <v>2</v>
      </c>
      <c r="F139" s="24">
        <v>250.98</v>
      </c>
      <c r="G139" s="22" t="s">
        <v>657</v>
      </c>
      <c r="H139" s="22" t="s">
        <v>76</v>
      </c>
      <c r="I139" s="22" t="s">
        <v>69</v>
      </c>
      <c r="J139" s="22" t="s">
        <v>658</v>
      </c>
      <c r="K139" s="22">
        <v>5</v>
      </c>
      <c r="L139" s="22"/>
      <c r="M139" s="22" t="s">
        <v>88</v>
      </c>
      <c r="N139" s="24">
        <v>501.96</v>
      </c>
      <c r="O139" s="22">
        <f>YEAR(B139)</f>
        <v>2024</v>
      </c>
      <c r="P139" s="25">
        <f>DATE(YEAR(B139),MONTH(B139),1)</f>
        <v>45597</v>
      </c>
      <c r="Q139" s="22" t="str">
        <f>IF(N139&gt;Summary!$C$17,"Outlier","")</f>
        <v/>
      </c>
      <c r="R139" s="22" t="str">
        <f>IF(L139="","None",L139)</f>
        <v>None</v>
      </c>
    </row>
    <row r="140" spans="1:18" x14ac:dyDescent="0.2">
      <c r="A140" s="22" t="s">
        <v>659</v>
      </c>
      <c r="B140" s="23">
        <v>45281</v>
      </c>
      <c r="C140" s="22" t="s">
        <v>660</v>
      </c>
      <c r="D140" s="22" t="s">
        <v>64</v>
      </c>
      <c r="E140" s="22">
        <v>1</v>
      </c>
      <c r="F140" s="24">
        <v>298.06</v>
      </c>
      <c r="G140" s="22" t="s">
        <v>661</v>
      </c>
      <c r="H140" s="22" t="s">
        <v>77</v>
      </c>
      <c r="I140" s="22" t="s">
        <v>71</v>
      </c>
      <c r="J140" s="22" t="s">
        <v>662</v>
      </c>
      <c r="K140" s="22">
        <v>3</v>
      </c>
      <c r="L140" s="22" t="s">
        <v>84</v>
      </c>
      <c r="M140" s="22" t="s">
        <v>88</v>
      </c>
      <c r="N140" s="24">
        <v>298.06</v>
      </c>
      <c r="O140" s="22">
        <f>YEAR(B140)</f>
        <v>2023</v>
      </c>
      <c r="P140" s="25">
        <f>DATE(YEAR(B140),MONTH(B140),1)</f>
        <v>45261</v>
      </c>
      <c r="Q140" s="22" t="str">
        <f>IF(N140&gt;Summary!$C$17,"Outlier","")</f>
        <v/>
      </c>
      <c r="R140" s="22" t="str">
        <f>IF(L140="","None",L140)</f>
        <v>WINTER15</v>
      </c>
    </row>
    <row r="141" spans="1:18" x14ac:dyDescent="0.2">
      <c r="A141" s="22" t="s">
        <v>663</v>
      </c>
      <c r="B141" s="23">
        <v>45026</v>
      </c>
      <c r="C141" s="22" t="s">
        <v>664</v>
      </c>
      <c r="D141" s="22" t="s">
        <v>67</v>
      </c>
      <c r="E141" s="22">
        <v>1</v>
      </c>
      <c r="F141" s="24">
        <v>583.9</v>
      </c>
      <c r="G141" s="22" t="s">
        <v>665</v>
      </c>
      <c r="H141" s="22" t="s">
        <v>75</v>
      </c>
      <c r="I141" s="22" t="s">
        <v>72</v>
      </c>
      <c r="J141" s="22" t="s">
        <v>666</v>
      </c>
      <c r="K141" s="22">
        <v>1</v>
      </c>
      <c r="L141" s="22"/>
      <c r="M141" s="22" t="s">
        <v>86</v>
      </c>
      <c r="N141" s="24">
        <v>583.9</v>
      </c>
      <c r="O141" s="22">
        <f>YEAR(B141)</f>
        <v>2023</v>
      </c>
      <c r="P141" s="25">
        <f>DATE(YEAR(B141),MONTH(B141),1)</f>
        <v>45017</v>
      </c>
      <c r="Q141" s="22" t="str">
        <f>IF(N141&gt;Summary!$C$17,"Outlier","")</f>
        <v/>
      </c>
      <c r="R141" s="22" t="str">
        <f>IF(L141="","None",L141)</f>
        <v>None</v>
      </c>
    </row>
    <row r="142" spans="1:18" x14ac:dyDescent="0.2">
      <c r="A142" s="22" t="s">
        <v>667</v>
      </c>
      <c r="B142" s="23">
        <v>45808</v>
      </c>
      <c r="C142" s="22" t="s">
        <v>668</v>
      </c>
      <c r="D142" s="22" t="s">
        <v>61</v>
      </c>
      <c r="E142" s="22">
        <v>3</v>
      </c>
      <c r="F142" s="24">
        <v>528.14</v>
      </c>
      <c r="G142" s="22" t="s">
        <v>551</v>
      </c>
      <c r="H142" s="22" t="s">
        <v>79</v>
      </c>
      <c r="I142" s="22" t="s">
        <v>69</v>
      </c>
      <c r="J142" s="22" t="s">
        <v>669</v>
      </c>
      <c r="K142" s="22">
        <v>3</v>
      </c>
      <c r="L142" s="22" t="s">
        <v>82</v>
      </c>
      <c r="M142" s="22" t="s">
        <v>86</v>
      </c>
      <c r="N142" s="24">
        <v>1584.42</v>
      </c>
      <c r="O142" s="22">
        <f>YEAR(B142)</f>
        <v>2025</v>
      </c>
      <c r="P142" s="25">
        <f>DATE(YEAR(B142),MONTH(B142),1)</f>
        <v>45778</v>
      </c>
      <c r="Q142" s="22" t="str">
        <f>IF(N142&gt;Summary!$C$17,"Outlier","")</f>
        <v/>
      </c>
      <c r="R142" s="22" t="str">
        <f>IF(L142="","None",L142)</f>
        <v>FREESHIP</v>
      </c>
    </row>
    <row r="143" spans="1:18" x14ac:dyDescent="0.2">
      <c r="A143" s="22" t="s">
        <v>670</v>
      </c>
      <c r="B143" s="23">
        <v>45248</v>
      </c>
      <c r="C143" s="22" t="s">
        <v>671</v>
      </c>
      <c r="D143" s="22" t="s">
        <v>62</v>
      </c>
      <c r="E143" s="22">
        <v>3</v>
      </c>
      <c r="F143" s="24">
        <v>684.14</v>
      </c>
      <c r="G143" s="22" t="s">
        <v>672</v>
      </c>
      <c r="H143" s="22" t="s">
        <v>75</v>
      </c>
      <c r="I143" s="22" t="s">
        <v>73</v>
      </c>
      <c r="J143" s="22" t="s">
        <v>673</v>
      </c>
      <c r="K143" s="22">
        <v>3</v>
      </c>
      <c r="L143" s="22" t="s">
        <v>84</v>
      </c>
      <c r="M143" s="22" t="s">
        <v>89</v>
      </c>
      <c r="N143" s="24">
        <v>2052.42</v>
      </c>
      <c r="O143" s="22">
        <f>YEAR(B143)</f>
        <v>2023</v>
      </c>
      <c r="P143" s="25">
        <f>DATE(YEAR(B143),MONTH(B143),1)</f>
        <v>45231</v>
      </c>
      <c r="Q143" s="22" t="str">
        <f>IF(N143&gt;Summary!$C$17,"Outlier","")</f>
        <v/>
      </c>
      <c r="R143" s="22" t="str">
        <f>IF(L143="","None",L143)</f>
        <v>WINTER15</v>
      </c>
    </row>
    <row r="144" spans="1:18" x14ac:dyDescent="0.2">
      <c r="A144" s="22" t="s">
        <v>674</v>
      </c>
      <c r="B144" s="23">
        <v>45175</v>
      </c>
      <c r="C144" s="22" t="s">
        <v>675</v>
      </c>
      <c r="D144" s="22" t="s">
        <v>66</v>
      </c>
      <c r="E144" s="22">
        <v>5</v>
      </c>
      <c r="F144" s="24">
        <v>272.77</v>
      </c>
      <c r="G144" s="22" t="s">
        <v>676</v>
      </c>
      <c r="H144" s="22" t="s">
        <v>75</v>
      </c>
      <c r="I144" s="22" t="s">
        <v>71</v>
      </c>
      <c r="J144" s="22" t="s">
        <v>677</v>
      </c>
      <c r="K144" s="22">
        <v>7</v>
      </c>
      <c r="L144" s="22" t="s">
        <v>84</v>
      </c>
      <c r="M144" s="22" t="s">
        <v>86</v>
      </c>
      <c r="N144" s="24">
        <v>1363.85</v>
      </c>
      <c r="O144" s="22">
        <f>YEAR(B144)</f>
        <v>2023</v>
      </c>
      <c r="P144" s="25">
        <f>DATE(YEAR(B144),MONTH(B144),1)</f>
        <v>45170</v>
      </c>
      <c r="Q144" s="22" t="str">
        <f>IF(N144&gt;Summary!$C$17,"Outlier","")</f>
        <v/>
      </c>
      <c r="R144" s="22" t="str">
        <f>IF(L144="","None",L144)</f>
        <v>WINTER15</v>
      </c>
    </row>
    <row r="145" spans="1:18" x14ac:dyDescent="0.2">
      <c r="A145" s="22" t="s">
        <v>678</v>
      </c>
      <c r="B145" s="23">
        <v>45456</v>
      </c>
      <c r="C145" s="22" t="s">
        <v>679</v>
      </c>
      <c r="D145" s="22" t="s">
        <v>61</v>
      </c>
      <c r="E145" s="22">
        <v>4</v>
      </c>
      <c r="F145" s="24">
        <v>400.07</v>
      </c>
      <c r="G145" s="22" t="s">
        <v>680</v>
      </c>
      <c r="H145" s="22" t="s">
        <v>79</v>
      </c>
      <c r="I145" s="22" t="s">
        <v>70</v>
      </c>
      <c r="J145" s="22" t="s">
        <v>681</v>
      </c>
      <c r="K145" s="22">
        <v>5</v>
      </c>
      <c r="L145" s="22"/>
      <c r="M145" s="22" t="s">
        <v>90</v>
      </c>
      <c r="N145" s="24">
        <v>1600.28</v>
      </c>
      <c r="O145" s="22">
        <f>YEAR(B145)</f>
        <v>2024</v>
      </c>
      <c r="P145" s="25">
        <f>DATE(YEAR(B145),MONTH(B145),1)</f>
        <v>45444</v>
      </c>
      <c r="Q145" s="22" t="str">
        <f>IF(N145&gt;Summary!$C$17,"Outlier","")</f>
        <v/>
      </c>
      <c r="R145" s="22" t="str">
        <f>IF(L145="","None",L145)</f>
        <v>None</v>
      </c>
    </row>
    <row r="146" spans="1:18" x14ac:dyDescent="0.2">
      <c r="A146" s="22" t="s">
        <v>682</v>
      </c>
      <c r="B146" s="23">
        <v>45142</v>
      </c>
      <c r="C146" s="22" t="s">
        <v>683</v>
      </c>
      <c r="D146" s="22" t="s">
        <v>66</v>
      </c>
      <c r="E146" s="22">
        <v>5</v>
      </c>
      <c r="F146" s="24">
        <v>219.78</v>
      </c>
      <c r="G146" s="22" t="s">
        <v>239</v>
      </c>
      <c r="H146" s="22" t="s">
        <v>76</v>
      </c>
      <c r="I146" s="22" t="s">
        <v>71</v>
      </c>
      <c r="J146" s="22" t="s">
        <v>684</v>
      </c>
      <c r="K146" s="22">
        <v>8</v>
      </c>
      <c r="L146" s="22"/>
      <c r="M146" s="22" t="s">
        <v>87</v>
      </c>
      <c r="N146" s="24">
        <v>1098.9000000000001</v>
      </c>
      <c r="O146" s="22">
        <f>YEAR(B146)</f>
        <v>2023</v>
      </c>
      <c r="P146" s="25">
        <f>DATE(YEAR(B146),MONTH(B146),1)</f>
        <v>45139</v>
      </c>
      <c r="Q146" s="22" t="str">
        <f>IF(N146&gt;Summary!$C$17,"Outlier","")</f>
        <v/>
      </c>
      <c r="R146" s="22" t="str">
        <f>IF(L146="","None",L146)</f>
        <v>None</v>
      </c>
    </row>
    <row r="147" spans="1:18" x14ac:dyDescent="0.2">
      <c r="A147" s="22" t="s">
        <v>685</v>
      </c>
      <c r="B147" s="23">
        <v>45353</v>
      </c>
      <c r="C147" s="22" t="s">
        <v>686</v>
      </c>
      <c r="D147" s="22" t="s">
        <v>62</v>
      </c>
      <c r="E147" s="22">
        <v>3</v>
      </c>
      <c r="F147" s="24">
        <v>146.91</v>
      </c>
      <c r="G147" s="22" t="s">
        <v>687</v>
      </c>
      <c r="H147" s="22" t="s">
        <v>76</v>
      </c>
      <c r="I147" s="22" t="s">
        <v>69</v>
      </c>
      <c r="J147" s="22" t="s">
        <v>688</v>
      </c>
      <c r="K147" s="22">
        <v>6</v>
      </c>
      <c r="L147" s="22" t="s">
        <v>82</v>
      </c>
      <c r="M147" s="22" t="s">
        <v>88</v>
      </c>
      <c r="N147" s="24">
        <v>440.73</v>
      </c>
      <c r="O147" s="22">
        <f>YEAR(B147)</f>
        <v>2024</v>
      </c>
      <c r="P147" s="25">
        <f>DATE(YEAR(B147),MONTH(B147),1)</f>
        <v>45352</v>
      </c>
      <c r="Q147" s="22" t="str">
        <f>IF(N147&gt;Summary!$C$17,"Outlier","")</f>
        <v/>
      </c>
      <c r="R147" s="22" t="str">
        <f>IF(L147="","None",L147)</f>
        <v>FREESHIP</v>
      </c>
    </row>
    <row r="148" spans="1:18" x14ac:dyDescent="0.2">
      <c r="A148" s="22" t="s">
        <v>689</v>
      </c>
      <c r="B148" s="23">
        <v>45777</v>
      </c>
      <c r="C148" s="22" t="s">
        <v>690</v>
      </c>
      <c r="D148" s="22" t="s">
        <v>64</v>
      </c>
      <c r="E148" s="22">
        <v>2</v>
      </c>
      <c r="F148" s="24">
        <v>411.49</v>
      </c>
      <c r="G148" s="22" t="s">
        <v>691</v>
      </c>
      <c r="H148" s="22" t="s">
        <v>76</v>
      </c>
      <c r="I148" s="22" t="s">
        <v>72</v>
      </c>
      <c r="J148" s="22" t="s">
        <v>692</v>
      </c>
      <c r="K148" s="22">
        <v>4</v>
      </c>
      <c r="L148" s="22"/>
      <c r="M148" s="22" t="s">
        <v>89</v>
      </c>
      <c r="N148" s="24">
        <v>822.98</v>
      </c>
      <c r="O148" s="22">
        <f>YEAR(B148)</f>
        <v>2025</v>
      </c>
      <c r="P148" s="25">
        <f>DATE(YEAR(B148),MONTH(B148),1)</f>
        <v>45748</v>
      </c>
      <c r="Q148" s="22" t="str">
        <f>IF(N148&gt;Summary!$C$17,"Outlier","")</f>
        <v/>
      </c>
      <c r="R148" s="22" t="str">
        <f>IF(L148="","None",L148)</f>
        <v>None</v>
      </c>
    </row>
    <row r="149" spans="1:18" x14ac:dyDescent="0.2">
      <c r="A149" s="22" t="s">
        <v>693</v>
      </c>
      <c r="B149" s="23">
        <v>45783</v>
      </c>
      <c r="C149" s="22" t="s">
        <v>694</v>
      </c>
      <c r="D149" s="22" t="s">
        <v>63</v>
      </c>
      <c r="E149" s="22">
        <v>2</v>
      </c>
      <c r="F149" s="24">
        <v>465.18</v>
      </c>
      <c r="G149" s="22" t="s">
        <v>695</v>
      </c>
      <c r="H149" s="22" t="s">
        <v>76</v>
      </c>
      <c r="I149" s="22" t="s">
        <v>73</v>
      </c>
      <c r="J149" s="22" t="s">
        <v>696</v>
      </c>
      <c r="K149" s="22">
        <v>2</v>
      </c>
      <c r="L149" s="22" t="s">
        <v>83</v>
      </c>
      <c r="M149" s="22" t="s">
        <v>88</v>
      </c>
      <c r="N149" s="24">
        <v>930.36</v>
      </c>
      <c r="O149" s="22">
        <f>YEAR(B149)</f>
        <v>2025</v>
      </c>
      <c r="P149" s="25">
        <f>DATE(YEAR(B149),MONTH(B149),1)</f>
        <v>45778</v>
      </c>
      <c r="Q149" s="22" t="str">
        <f>IF(N149&gt;Summary!$C$17,"Outlier","")</f>
        <v/>
      </c>
      <c r="R149" s="22" t="str">
        <f>IF(L149="","None",L149)</f>
        <v>SAVE10</v>
      </c>
    </row>
    <row r="150" spans="1:18" x14ac:dyDescent="0.2">
      <c r="A150" s="22" t="s">
        <v>697</v>
      </c>
      <c r="B150" s="23">
        <v>45641</v>
      </c>
      <c r="C150" s="22" t="s">
        <v>698</v>
      </c>
      <c r="D150" s="22" t="s">
        <v>67</v>
      </c>
      <c r="E150" s="22">
        <v>2</v>
      </c>
      <c r="F150" s="24">
        <v>319.91000000000003</v>
      </c>
      <c r="G150" s="22" t="s">
        <v>699</v>
      </c>
      <c r="H150" s="22" t="s">
        <v>76</v>
      </c>
      <c r="I150" s="22" t="s">
        <v>73</v>
      </c>
      <c r="J150" s="22" t="s">
        <v>700</v>
      </c>
      <c r="K150" s="22">
        <v>3</v>
      </c>
      <c r="L150" s="22" t="s">
        <v>84</v>
      </c>
      <c r="M150" s="22" t="s">
        <v>88</v>
      </c>
      <c r="N150" s="24">
        <v>639.82000000000005</v>
      </c>
      <c r="O150" s="22">
        <f>YEAR(B150)</f>
        <v>2024</v>
      </c>
      <c r="P150" s="25">
        <f>DATE(YEAR(B150),MONTH(B150),1)</f>
        <v>45627</v>
      </c>
      <c r="Q150" s="22" t="str">
        <f>IF(N150&gt;Summary!$C$17,"Outlier","")</f>
        <v/>
      </c>
      <c r="R150" s="22" t="str">
        <f>IF(L150="","None",L150)</f>
        <v>WINTER15</v>
      </c>
    </row>
    <row r="151" spans="1:18" x14ac:dyDescent="0.2">
      <c r="A151" s="22" t="s">
        <v>701</v>
      </c>
      <c r="B151" s="23">
        <v>45287</v>
      </c>
      <c r="C151" s="22" t="s">
        <v>702</v>
      </c>
      <c r="D151" s="22" t="s">
        <v>63</v>
      </c>
      <c r="E151" s="22">
        <v>1</v>
      </c>
      <c r="F151" s="24">
        <v>217.56</v>
      </c>
      <c r="G151" s="22" t="s">
        <v>703</v>
      </c>
      <c r="H151" s="22" t="s">
        <v>77</v>
      </c>
      <c r="I151" s="22" t="s">
        <v>69</v>
      </c>
      <c r="J151" s="22" t="s">
        <v>704</v>
      </c>
      <c r="K151" s="22">
        <v>3</v>
      </c>
      <c r="L151" s="22"/>
      <c r="M151" s="22" t="s">
        <v>87</v>
      </c>
      <c r="N151" s="24">
        <v>217.56</v>
      </c>
      <c r="O151" s="22">
        <f>YEAR(B151)</f>
        <v>2023</v>
      </c>
      <c r="P151" s="25">
        <f>DATE(YEAR(B151),MONTH(B151),1)</f>
        <v>45261</v>
      </c>
      <c r="Q151" s="22" t="str">
        <f>IF(N151&gt;Summary!$C$17,"Outlier","")</f>
        <v/>
      </c>
      <c r="R151" s="22" t="str">
        <f>IF(L151="","None",L151)</f>
        <v>None</v>
      </c>
    </row>
    <row r="152" spans="1:18" x14ac:dyDescent="0.2">
      <c r="A152" s="22" t="s">
        <v>705</v>
      </c>
      <c r="B152" s="23">
        <v>45273</v>
      </c>
      <c r="C152" s="22" t="s">
        <v>706</v>
      </c>
      <c r="D152" s="22" t="s">
        <v>67</v>
      </c>
      <c r="E152" s="22">
        <v>2</v>
      </c>
      <c r="F152" s="24">
        <v>105.57</v>
      </c>
      <c r="G152" s="22" t="s">
        <v>707</v>
      </c>
      <c r="H152" s="22" t="s">
        <v>77</v>
      </c>
      <c r="I152" s="22" t="s">
        <v>72</v>
      </c>
      <c r="J152" s="22" t="s">
        <v>708</v>
      </c>
      <c r="K152" s="22">
        <v>5</v>
      </c>
      <c r="L152" s="22" t="s">
        <v>84</v>
      </c>
      <c r="M152" s="22" t="s">
        <v>88</v>
      </c>
      <c r="N152" s="24">
        <v>211.14</v>
      </c>
      <c r="O152" s="22">
        <f>YEAR(B152)</f>
        <v>2023</v>
      </c>
      <c r="P152" s="25">
        <f>DATE(YEAR(B152),MONTH(B152),1)</f>
        <v>45261</v>
      </c>
      <c r="Q152" s="22" t="str">
        <f>IF(N152&gt;Summary!$C$17,"Outlier","")</f>
        <v/>
      </c>
      <c r="R152" s="22" t="str">
        <f>IF(L152="","None",L152)</f>
        <v>WINTER15</v>
      </c>
    </row>
    <row r="153" spans="1:18" x14ac:dyDescent="0.2">
      <c r="A153" s="22" t="s">
        <v>709</v>
      </c>
      <c r="B153" s="23">
        <v>45261</v>
      </c>
      <c r="C153" s="22" t="s">
        <v>710</v>
      </c>
      <c r="D153" s="22" t="s">
        <v>62</v>
      </c>
      <c r="E153" s="22">
        <v>5</v>
      </c>
      <c r="F153" s="24">
        <v>444.76</v>
      </c>
      <c r="G153" s="22" t="s">
        <v>711</v>
      </c>
      <c r="H153" s="22" t="s">
        <v>77</v>
      </c>
      <c r="I153" s="22" t="s">
        <v>72</v>
      </c>
      <c r="J153" s="22" t="s">
        <v>712</v>
      </c>
      <c r="K153" s="22">
        <v>7</v>
      </c>
      <c r="L153" s="22"/>
      <c r="M153" s="22" t="s">
        <v>86</v>
      </c>
      <c r="N153" s="24">
        <v>2223.8000000000002</v>
      </c>
      <c r="O153" s="22">
        <f>YEAR(B153)</f>
        <v>2023</v>
      </c>
      <c r="P153" s="25">
        <f>DATE(YEAR(B153),MONTH(B153),1)</f>
        <v>45261</v>
      </c>
      <c r="Q153" s="22" t="str">
        <f>IF(N153&gt;Summary!$C$17,"Outlier","")</f>
        <v/>
      </c>
      <c r="R153" s="22" t="str">
        <f>IF(L153="","None",L153)</f>
        <v>None</v>
      </c>
    </row>
    <row r="154" spans="1:18" x14ac:dyDescent="0.2">
      <c r="A154" s="22" t="s">
        <v>713</v>
      </c>
      <c r="B154" s="23">
        <v>45659</v>
      </c>
      <c r="C154" s="22" t="s">
        <v>714</v>
      </c>
      <c r="D154" s="22" t="s">
        <v>61</v>
      </c>
      <c r="E154" s="22">
        <v>2</v>
      </c>
      <c r="F154" s="24">
        <v>399.04</v>
      </c>
      <c r="G154" s="22" t="s">
        <v>715</v>
      </c>
      <c r="H154" s="22" t="s">
        <v>75</v>
      </c>
      <c r="I154" s="22" t="s">
        <v>73</v>
      </c>
      <c r="J154" s="22" t="s">
        <v>716</v>
      </c>
      <c r="K154" s="22">
        <v>3</v>
      </c>
      <c r="L154" s="22" t="s">
        <v>82</v>
      </c>
      <c r="M154" s="22" t="s">
        <v>90</v>
      </c>
      <c r="N154" s="24">
        <v>798.08</v>
      </c>
      <c r="O154" s="22">
        <f>YEAR(B154)</f>
        <v>2025</v>
      </c>
      <c r="P154" s="25">
        <f>DATE(YEAR(B154),MONTH(B154),1)</f>
        <v>45658</v>
      </c>
      <c r="Q154" s="22" t="str">
        <f>IF(N154&gt;Summary!$C$17,"Outlier","")</f>
        <v/>
      </c>
      <c r="R154" s="22" t="str">
        <f>IF(L154="","None",L154)</f>
        <v>FREESHIP</v>
      </c>
    </row>
    <row r="155" spans="1:18" x14ac:dyDescent="0.2">
      <c r="A155" s="22" t="s">
        <v>717</v>
      </c>
      <c r="B155" s="23">
        <v>45644</v>
      </c>
      <c r="C155" s="22" t="s">
        <v>718</v>
      </c>
      <c r="D155" s="22" t="s">
        <v>61</v>
      </c>
      <c r="E155" s="22">
        <v>4</v>
      </c>
      <c r="F155" s="24">
        <v>534.48</v>
      </c>
      <c r="G155" s="22" t="s">
        <v>719</v>
      </c>
      <c r="H155" s="22" t="s">
        <v>79</v>
      </c>
      <c r="I155" s="22" t="s">
        <v>72</v>
      </c>
      <c r="J155" s="22" t="s">
        <v>720</v>
      </c>
      <c r="K155" s="22">
        <v>9</v>
      </c>
      <c r="L155" s="22" t="s">
        <v>84</v>
      </c>
      <c r="M155" s="22" t="s">
        <v>89</v>
      </c>
      <c r="N155" s="24">
        <v>2137.92</v>
      </c>
      <c r="O155" s="22">
        <f>YEAR(B155)</f>
        <v>2024</v>
      </c>
      <c r="P155" s="25">
        <f>DATE(YEAR(B155),MONTH(B155),1)</f>
        <v>45627</v>
      </c>
      <c r="Q155" s="22" t="str">
        <f>IF(N155&gt;Summary!$C$17,"Outlier","")</f>
        <v/>
      </c>
      <c r="R155" s="22" t="str">
        <f>IF(L155="","None",L155)</f>
        <v>WINTER15</v>
      </c>
    </row>
    <row r="156" spans="1:18" x14ac:dyDescent="0.2">
      <c r="A156" s="22" t="s">
        <v>721</v>
      </c>
      <c r="B156" s="23">
        <v>45127</v>
      </c>
      <c r="C156" s="22" t="s">
        <v>722</v>
      </c>
      <c r="D156" s="22" t="s">
        <v>67</v>
      </c>
      <c r="E156" s="22">
        <v>4</v>
      </c>
      <c r="F156" s="24">
        <v>408.21</v>
      </c>
      <c r="G156" s="22" t="s">
        <v>602</v>
      </c>
      <c r="H156" s="22" t="s">
        <v>76</v>
      </c>
      <c r="I156" s="22" t="s">
        <v>71</v>
      </c>
      <c r="J156" s="22" t="s">
        <v>723</v>
      </c>
      <c r="K156" s="22">
        <v>9</v>
      </c>
      <c r="L156" s="22"/>
      <c r="M156" s="22" t="s">
        <v>89</v>
      </c>
      <c r="N156" s="24">
        <v>1632.84</v>
      </c>
      <c r="O156" s="22">
        <f>YEAR(B156)</f>
        <v>2023</v>
      </c>
      <c r="P156" s="25">
        <f>DATE(YEAR(B156),MONTH(B156),1)</f>
        <v>45108</v>
      </c>
      <c r="Q156" s="22" t="str">
        <f>IF(N156&gt;Summary!$C$17,"Outlier","")</f>
        <v/>
      </c>
      <c r="R156" s="22" t="str">
        <f>IF(L156="","None",L156)</f>
        <v>None</v>
      </c>
    </row>
    <row r="157" spans="1:18" x14ac:dyDescent="0.2">
      <c r="A157" s="22" t="s">
        <v>724</v>
      </c>
      <c r="B157" s="23">
        <v>44984</v>
      </c>
      <c r="C157" s="22" t="s">
        <v>725</v>
      </c>
      <c r="D157" s="22" t="s">
        <v>67</v>
      </c>
      <c r="E157" s="22">
        <v>1</v>
      </c>
      <c r="F157" s="24">
        <v>424.4</v>
      </c>
      <c r="G157" s="22" t="s">
        <v>316</v>
      </c>
      <c r="H157" s="22" t="s">
        <v>79</v>
      </c>
      <c r="I157" s="22" t="s">
        <v>70</v>
      </c>
      <c r="J157" s="22" t="s">
        <v>726</v>
      </c>
      <c r="K157" s="22">
        <v>6</v>
      </c>
      <c r="L157" s="22" t="s">
        <v>84</v>
      </c>
      <c r="M157" s="22" t="s">
        <v>90</v>
      </c>
      <c r="N157" s="24">
        <v>424.4</v>
      </c>
      <c r="O157" s="22">
        <f>YEAR(B157)</f>
        <v>2023</v>
      </c>
      <c r="P157" s="25">
        <f>DATE(YEAR(B157),MONTH(B157),1)</f>
        <v>44958</v>
      </c>
      <c r="Q157" s="22" t="str">
        <f>IF(N157&gt;Summary!$C$17,"Outlier","")</f>
        <v/>
      </c>
      <c r="R157" s="22" t="str">
        <f>IF(L157="","None",L157)</f>
        <v>WINTER15</v>
      </c>
    </row>
    <row r="158" spans="1:18" x14ac:dyDescent="0.2">
      <c r="A158" s="22" t="s">
        <v>727</v>
      </c>
      <c r="B158" s="23">
        <v>45604</v>
      </c>
      <c r="C158" s="22" t="s">
        <v>728</v>
      </c>
      <c r="D158" s="22" t="s">
        <v>61</v>
      </c>
      <c r="E158" s="22">
        <v>2</v>
      </c>
      <c r="F158" s="24">
        <v>269.83</v>
      </c>
      <c r="G158" s="22" t="s">
        <v>729</v>
      </c>
      <c r="H158" s="22" t="s">
        <v>79</v>
      </c>
      <c r="I158" s="22" t="s">
        <v>69</v>
      </c>
      <c r="J158" s="22" t="s">
        <v>730</v>
      </c>
      <c r="K158" s="22">
        <v>4</v>
      </c>
      <c r="L158" s="22" t="s">
        <v>83</v>
      </c>
      <c r="M158" s="22" t="s">
        <v>86</v>
      </c>
      <c r="N158" s="24">
        <v>539.66</v>
      </c>
      <c r="O158" s="22">
        <f>YEAR(B158)</f>
        <v>2024</v>
      </c>
      <c r="P158" s="25">
        <f>DATE(YEAR(B158),MONTH(B158),1)</f>
        <v>45597</v>
      </c>
      <c r="Q158" s="22" t="str">
        <f>IF(N158&gt;Summary!$C$17,"Outlier","")</f>
        <v/>
      </c>
      <c r="R158" s="22" t="str">
        <f>IF(L158="","None",L158)</f>
        <v>SAVE10</v>
      </c>
    </row>
    <row r="159" spans="1:18" x14ac:dyDescent="0.2">
      <c r="A159" s="22" t="s">
        <v>731</v>
      </c>
      <c r="B159" s="23">
        <v>45709</v>
      </c>
      <c r="C159" s="22" t="s">
        <v>732</v>
      </c>
      <c r="D159" s="22" t="s">
        <v>65</v>
      </c>
      <c r="E159" s="22">
        <v>2</v>
      </c>
      <c r="F159" s="24">
        <v>564.58000000000004</v>
      </c>
      <c r="G159" s="22" t="s">
        <v>642</v>
      </c>
      <c r="H159" s="22" t="s">
        <v>79</v>
      </c>
      <c r="I159" s="22" t="s">
        <v>72</v>
      </c>
      <c r="J159" s="22" t="s">
        <v>733</v>
      </c>
      <c r="K159" s="22">
        <v>4</v>
      </c>
      <c r="L159" s="22" t="s">
        <v>84</v>
      </c>
      <c r="M159" s="22" t="s">
        <v>87</v>
      </c>
      <c r="N159" s="24">
        <v>1129.1600000000001</v>
      </c>
      <c r="O159" s="22">
        <f>YEAR(B159)</f>
        <v>2025</v>
      </c>
      <c r="P159" s="25">
        <f>DATE(YEAR(B159),MONTH(B159),1)</f>
        <v>45689</v>
      </c>
      <c r="Q159" s="22" t="str">
        <f>IF(N159&gt;Summary!$C$17,"Outlier","")</f>
        <v/>
      </c>
      <c r="R159" s="22" t="str">
        <f>IF(L159="","None",L159)</f>
        <v>WINTER15</v>
      </c>
    </row>
    <row r="160" spans="1:18" x14ac:dyDescent="0.2">
      <c r="A160" s="22" t="s">
        <v>734</v>
      </c>
      <c r="B160" s="23">
        <v>45428</v>
      </c>
      <c r="C160" s="22" t="s">
        <v>735</v>
      </c>
      <c r="D160" s="22" t="s">
        <v>64</v>
      </c>
      <c r="E160" s="22">
        <v>1</v>
      </c>
      <c r="F160" s="24">
        <v>331.06</v>
      </c>
      <c r="G160" s="22" t="s">
        <v>736</v>
      </c>
      <c r="H160" s="22" t="s">
        <v>76</v>
      </c>
      <c r="I160" s="22" t="s">
        <v>71</v>
      </c>
      <c r="J160" s="22" t="s">
        <v>737</v>
      </c>
      <c r="K160" s="22">
        <v>5</v>
      </c>
      <c r="L160" s="22" t="s">
        <v>84</v>
      </c>
      <c r="M160" s="22" t="s">
        <v>89</v>
      </c>
      <c r="N160" s="24">
        <v>331.06</v>
      </c>
      <c r="O160" s="22">
        <f>YEAR(B160)</f>
        <v>2024</v>
      </c>
      <c r="P160" s="25">
        <f>DATE(YEAR(B160),MONTH(B160),1)</f>
        <v>45413</v>
      </c>
      <c r="Q160" s="22" t="str">
        <f>IF(N160&gt;Summary!$C$17,"Outlier","")</f>
        <v/>
      </c>
      <c r="R160" s="22" t="str">
        <f>IF(L160="","None",L160)</f>
        <v>WINTER15</v>
      </c>
    </row>
    <row r="161" spans="1:18" x14ac:dyDescent="0.2">
      <c r="A161" s="22" t="s">
        <v>738</v>
      </c>
      <c r="B161" s="23">
        <v>45230</v>
      </c>
      <c r="C161" s="22" t="s">
        <v>739</v>
      </c>
      <c r="D161" s="22" t="s">
        <v>62</v>
      </c>
      <c r="E161" s="22">
        <v>1</v>
      </c>
      <c r="F161" s="24">
        <v>299.35000000000002</v>
      </c>
      <c r="G161" s="22" t="s">
        <v>740</v>
      </c>
      <c r="H161" s="22" t="s">
        <v>76</v>
      </c>
      <c r="I161" s="22" t="s">
        <v>73</v>
      </c>
      <c r="J161" s="22" t="s">
        <v>741</v>
      </c>
      <c r="K161" s="22">
        <v>5</v>
      </c>
      <c r="L161" s="22" t="s">
        <v>84</v>
      </c>
      <c r="M161" s="22" t="s">
        <v>86</v>
      </c>
      <c r="N161" s="24">
        <v>299.35000000000002</v>
      </c>
      <c r="O161" s="22">
        <f>YEAR(B161)</f>
        <v>2023</v>
      </c>
      <c r="P161" s="25">
        <f>DATE(YEAR(B161),MONTH(B161),1)</f>
        <v>45200</v>
      </c>
      <c r="Q161" s="22" t="str">
        <f>IF(N161&gt;Summary!$C$17,"Outlier","")</f>
        <v/>
      </c>
      <c r="R161" s="22" t="str">
        <f>IF(L161="","None",L161)</f>
        <v>WINTER15</v>
      </c>
    </row>
    <row r="162" spans="1:18" x14ac:dyDescent="0.2">
      <c r="A162" s="22" t="s">
        <v>742</v>
      </c>
      <c r="B162" s="23">
        <v>44974</v>
      </c>
      <c r="C162" s="22" t="s">
        <v>743</v>
      </c>
      <c r="D162" s="22" t="s">
        <v>65</v>
      </c>
      <c r="E162" s="22">
        <v>4</v>
      </c>
      <c r="F162" s="24">
        <v>101.32</v>
      </c>
      <c r="G162" s="22" t="s">
        <v>744</v>
      </c>
      <c r="H162" s="22" t="s">
        <v>75</v>
      </c>
      <c r="I162" s="22" t="s">
        <v>71</v>
      </c>
      <c r="J162" s="22" t="s">
        <v>745</v>
      </c>
      <c r="K162" s="22">
        <v>7</v>
      </c>
      <c r="L162" s="22"/>
      <c r="M162" s="22" t="s">
        <v>90</v>
      </c>
      <c r="N162" s="24">
        <v>405.28</v>
      </c>
      <c r="O162" s="22">
        <f>YEAR(B162)</f>
        <v>2023</v>
      </c>
      <c r="P162" s="25">
        <f>DATE(YEAR(B162),MONTH(B162),1)</f>
        <v>44958</v>
      </c>
      <c r="Q162" s="22" t="str">
        <f>IF(N162&gt;Summary!$C$17,"Outlier","")</f>
        <v/>
      </c>
      <c r="R162" s="22" t="str">
        <f>IF(L162="","None",L162)</f>
        <v>None</v>
      </c>
    </row>
    <row r="163" spans="1:18" x14ac:dyDescent="0.2">
      <c r="A163" s="22" t="s">
        <v>746</v>
      </c>
      <c r="B163" s="23">
        <v>45380</v>
      </c>
      <c r="C163" s="22" t="s">
        <v>747</v>
      </c>
      <c r="D163" s="22" t="s">
        <v>65</v>
      </c>
      <c r="E163" s="22">
        <v>1</v>
      </c>
      <c r="F163" s="24">
        <v>211.14</v>
      </c>
      <c r="G163" s="22" t="s">
        <v>630</v>
      </c>
      <c r="H163" s="22" t="s">
        <v>76</v>
      </c>
      <c r="I163" s="22" t="s">
        <v>73</v>
      </c>
      <c r="J163" s="22" t="s">
        <v>748</v>
      </c>
      <c r="K163" s="22">
        <v>1</v>
      </c>
      <c r="L163" s="22" t="s">
        <v>83</v>
      </c>
      <c r="M163" s="22" t="s">
        <v>87</v>
      </c>
      <c r="N163" s="24">
        <v>211.14</v>
      </c>
      <c r="O163" s="22">
        <f>YEAR(B163)</f>
        <v>2024</v>
      </c>
      <c r="P163" s="25">
        <f>DATE(YEAR(B163),MONTH(B163),1)</f>
        <v>45352</v>
      </c>
      <c r="Q163" s="22" t="str">
        <f>IF(N163&gt;Summary!$C$17,"Outlier","")</f>
        <v/>
      </c>
      <c r="R163" s="22" t="str">
        <f>IF(L163="","None",L163)</f>
        <v>SAVE10</v>
      </c>
    </row>
    <row r="164" spans="1:18" x14ac:dyDescent="0.2">
      <c r="A164" s="22" t="s">
        <v>749</v>
      </c>
      <c r="B164" s="23">
        <v>45134</v>
      </c>
      <c r="C164" s="22" t="s">
        <v>750</v>
      </c>
      <c r="D164" s="22" t="s">
        <v>61</v>
      </c>
      <c r="E164" s="22">
        <v>3</v>
      </c>
      <c r="F164" s="24">
        <v>65.86</v>
      </c>
      <c r="G164" s="22" t="s">
        <v>413</v>
      </c>
      <c r="H164" s="22" t="s">
        <v>79</v>
      </c>
      <c r="I164" s="22" t="s">
        <v>71</v>
      </c>
      <c r="J164" s="22" t="s">
        <v>751</v>
      </c>
      <c r="K164" s="22">
        <v>8</v>
      </c>
      <c r="L164" s="22" t="s">
        <v>84</v>
      </c>
      <c r="M164" s="22" t="s">
        <v>88</v>
      </c>
      <c r="N164" s="24">
        <v>197.58</v>
      </c>
      <c r="O164" s="22">
        <f>YEAR(B164)</f>
        <v>2023</v>
      </c>
      <c r="P164" s="25">
        <f>DATE(YEAR(B164),MONTH(B164),1)</f>
        <v>45108</v>
      </c>
      <c r="Q164" s="22" t="str">
        <f>IF(N164&gt;Summary!$C$17,"Outlier","")</f>
        <v/>
      </c>
      <c r="R164" s="22" t="str">
        <f>IF(L164="","None",L164)</f>
        <v>WINTER15</v>
      </c>
    </row>
    <row r="165" spans="1:18" x14ac:dyDescent="0.2">
      <c r="A165" s="22" t="s">
        <v>752</v>
      </c>
      <c r="B165" s="23">
        <v>45832</v>
      </c>
      <c r="C165" s="22" t="s">
        <v>753</v>
      </c>
      <c r="D165" s="22" t="s">
        <v>64</v>
      </c>
      <c r="E165" s="22">
        <v>1</v>
      </c>
      <c r="F165" s="24">
        <v>641.39</v>
      </c>
      <c r="G165" s="22" t="s">
        <v>754</v>
      </c>
      <c r="H165" s="22" t="s">
        <v>79</v>
      </c>
      <c r="I165" s="22" t="s">
        <v>73</v>
      </c>
      <c r="J165" s="22" t="s">
        <v>755</v>
      </c>
      <c r="K165" s="22">
        <v>1</v>
      </c>
      <c r="L165" s="22"/>
      <c r="M165" s="22" t="s">
        <v>90</v>
      </c>
      <c r="N165" s="24">
        <v>641.39</v>
      </c>
      <c r="O165" s="22">
        <f>YEAR(B165)</f>
        <v>2025</v>
      </c>
      <c r="P165" s="25">
        <f>DATE(YEAR(B165),MONTH(B165),1)</f>
        <v>45809</v>
      </c>
      <c r="Q165" s="22" t="str">
        <f>IF(N165&gt;Summary!$C$17,"Outlier","")</f>
        <v/>
      </c>
      <c r="R165" s="22" t="str">
        <f>IF(L165="","None",L165)</f>
        <v>None</v>
      </c>
    </row>
    <row r="166" spans="1:18" x14ac:dyDescent="0.2">
      <c r="A166" s="22" t="s">
        <v>756</v>
      </c>
      <c r="B166" s="23">
        <v>45288</v>
      </c>
      <c r="C166" s="22" t="s">
        <v>757</v>
      </c>
      <c r="D166" s="22" t="s">
        <v>66</v>
      </c>
      <c r="E166" s="22">
        <v>5</v>
      </c>
      <c r="F166" s="24">
        <v>536.58000000000004</v>
      </c>
      <c r="G166" s="22" t="s">
        <v>758</v>
      </c>
      <c r="H166" s="22" t="s">
        <v>78</v>
      </c>
      <c r="I166" s="22" t="s">
        <v>71</v>
      </c>
      <c r="J166" s="22" t="s">
        <v>759</v>
      </c>
      <c r="K166" s="22">
        <v>5</v>
      </c>
      <c r="L166" s="22" t="s">
        <v>83</v>
      </c>
      <c r="M166" s="22" t="s">
        <v>88</v>
      </c>
      <c r="N166" s="24">
        <v>2682.9</v>
      </c>
      <c r="O166" s="22">
        <f>YEAR(B166)</f>
        <v>2023</v>
      </c>
      <c r="P166" s="25">
        <f>DATE(YEAR(B166),MONTH(B166),1)</f>
        <v>45261</v>
      </c>
      <c r="Q166" s="22" t="str">
        <f>IF(N166&gt;Summary!$C$17,"Outlier","")</f>
        <v/>
      </c>
      <c r="R166" s="22" t="str">
        <f>IF(L166="","None",L166)</f>
        <v>SAVE10</v>
      </c>
    </row>
    <row r="167" spans="1:18" x14ac:dyDescent="0.2">
      <c r="A167" s="22" t="s">
        <v>760</v>
      </c>
      <c r="B167" s="23">
        <v>45549</v>
      </c>
      <c r="C167" s="22" t="s">
        <v>761</v>
      </c>
      <c r="D167" s="22" t="s">
        <v>65</v>
      </c>
      <c r="E167" s="22">
        <v>2</v>
      </c>
      <c r="F167" s="24">
        <v>500.29</v>
      </c>
      <c r="G167" s="22" t="s">
        <v>762</v>
      </c>
      <c r="H167" s="22" t="s">
        <v>79</v>
      </c>
      <c r="I167" s="22" t="s">
        <v>72</v>
      </c>
      <c r="J167" s="22" t="s">
        <v>763</v>
      </c>
      <c r="K167" s="22">
        <v>7</v>
      </c>
      <c r="L167" s="22" t="s">
        <v>84</v>
      </c>
      <c r="M167" s="22" t="s">
        <v>88</v>
      </c>
      <c r="N167" s="24">
        <v>1000.58</v>
      </c>
      <c r="O167" s="22">
        <f>YEAR(B167)</f>
        <v>2024</v>
      </c>
      <c r="P167" s="25">
        <f>DATE(YEAR(B167),MONTH(B167),1)</f>
        <v>45536</v>
      </c>
      <c r="Q167" s="22" t="str">
        <f>IF(N167&gt;Summary!$C$17,"Outlier","")</f>
        <v/>
      </c>
      <c r="R167" s="22" t="str">
        <f>IF(L167="","None",L167)</f>
        <v>WINTER15</v>
      </c>
    </row>
    <row r="168" spans="1:18" x14ac:dyDescent="0.2">
      <c r="A168" s="22" t="s">
        <v>764</v>
      </c>
      <c r="B168" s="23">
        <v>45720</v>
      </c>
      <c r="C168" s="22" t="s">
        <v>765</v>
      </c>
      <c r="D168" s="22" t="s">
        <v>61</v>
      </c>
      <c r="E168" s="22">
        <v>3</v>
      </c>
      <c r="F168" s="24">
        <v>86.29</v>
      </c>
      <c r="G168" s="22" t="s">
        <v>335</v>
      </c>
      <c r="H168" s="22" t="s">
        <v>75</v>
      </c>
      <c r="I168" s="22" t="s">
        <v>69</v>
      </c>
      <c r="J168" s="22" t="s">
        <v>766</v>
      </c>
      <c r="K168" s="22">
        <v>6</v>
      </c>
      <c r="L168" s="22" t="s">
        <v>84</v>
      </c>
      <c r="M168" s="22" t="s">
        <v>89</v>
      </c>
      <c r="N168" s="24">
        <v>258.87</v>
      </c>
      <c r="O168" s="22">
        <f>YEAR(B168)</f>
        <v>2025</v>
      </c>
      <c r="P168" s="25">
        <f>DATE(YEAR(B168),MONTH(B168),1)</f>
        <v>45717</v>
      </c>
      <c r="Q168" s="22" t="str">
        <f>IF(N168&gt;Summary!$C$17,"Outlier","")</f>
        <v/>
      </c>
      <c r="R168" s="22" t="str">
        <f>IF(L168="","None",L168)</f>
        <v>WINTER15</v>
      </c>
    </row>
    <row r="169" spans="1:18" x14ac:dyDescent="0.2">
      <c r="A169" s="22" t="s">
        <v>767</v>
      </c>
      <c r="B169" s="23">
        <v>45073</v>
      </c>
      <c r="C169" s="22" t="s">
        <v>768</v>
      </c>
      <c r="D169" s="22" t="s">
        <v>61</v>
      </c>
      <c r="E169" s="22">
        <v>2</v>
      </c>
      <c r="F169" s="24">
        <v>384.14</v>
      </c>
      <c r="G169" s="22" t="s">
        <v>769</v>
      </c>
      <c r="H169" s="22" t="s">
        <v>79</v>
      </c>
      <c r="I169" s="22" t="s">
        <v>72</v>
      </c>
      <c r="J169" s="22" t="s">
        <v>770</v>
      </c>
      <c r="K169" s="22">
        <v>2</v>
      </c>
      <c r="L169" s="22" t="s">
        <v>84</v>
      </c>
      <c r="M169" s="22" t="s">
        <v>86</v>
      </c>
      <c r="N169" s="24">
        <v>768.28</v>
      </c>
      <c r="O169" s="22">
        <f>YEAR(B169)</f>
        <v>2023</v>
      </c>
      <c r="P169" s="25">
        <f>DATE(YEAR(B169),MONTH(B169),1)</f>
        <v>45047</v>
      </c>
      <c r="Q169" s="22" t="str">
        <f>IF(N169&gt;Summary!$C$17,"Outlier","")</f>
        <v/>
      </c>
      <c r="R169" s="22" t="str">
        <f>IF(L169="","None",L169)</f>
        <v>WINTER15</v>
      </c>
    </row>
    <row r="170" spans="1:18" x14ac:dyDescent="0.2">
      <c r="A170" s="22" t="s">
        <v>771</v>
      </c>
      <c r="B170" s="23">
        <v>45661</v>
      </c>
      <c r="C170" s="22" t="s">
        <v>772</v>
      </c>
      <c r="D170" s="22" t="s">
        <v>62</v>
      </c>
      <c r="E170" s="22">
        <v>1</v>
      </c>
      <c r="F170" s="24">
        <v>594.96</v>
      </c>
      <c r="G170" s="22" t="s">
        <v>773</v>
      </c>
      <c r="H170" s="22" t="s">
        <v>75</v>
      </c>
      <c r="I170" s="22" t="s">
        <v>72</v>
      </c>
      <c r="J170" s="22" t="s">
        <v>774</v>
      </c>
      <c r="K170" s="22">
        <v>6</v>
      </c>
      <c r="L170" s="22"/>
      <c r="M170" s="22" t="s">
        <v>87</v>
      </c>
      <c r="N170" s="24">
        <v>594.96</v>
      </c>
      <c r="O170" s="22">
        <f>YEAR(B170)</f>
        <v>2025</v>
      </c>
      <c r="P170" s="25">
        <f>DATE(YEAR(B170),MONTH(B170),1)</f>
        <v>45658</v>
      </c>
      <c r="Q170" s="22" t="str">
        <f>IF(N170&gt;Summary!$C$17,"Outlier","")</f>
        <v/>
      </c>
      <c r="R170" s="22" t="str">
        <f>IF(L170="","None",L170)</f>
        <v>None</v>
      </c>
    </row>
    <row r="171" spans="1:18" x14ac:dyDescent="0.2">
      <c r="A171" s="22" t="s">
        <v>775</v>
      </c>
      <c r="B171" s="23">
        <v>45389</v>
      </c>
      <c r="C171" s="22" t="s">
        <v>776</v>
      </c>
      <c r="D171" s="22" t="s">
        <v>62</v>
      </c>
      <c r="E171" s="22">
        <v>1</v>
      </c>
      <c r="F171" s="24">
        <v>427.82</v>
      </c>
      <c r="G171" s="22" t="s">
        <v>777</v>
      </c>
      <c r="H171" s="22" t="s">
        <v>79</v>
      </c>
      <c r="I171" s="22" t="s">
        <v>69</v>
      </c>
      <c r="J171" s="22" t="s">
        <v>778</v>
      </c>
      <c r="K171" s="22">
        <v>2</v>
      </c>
      <c r="L171" s="22" t="s">
        <v>84</v>
      </c>
      <c r="M171" s="22" t="s">
        <v>86</v>
      </c>
      <c r="N171" s="24">
        <v>427.82</v>
      </c>
      <c r="O171" s="22">
        <f>YEAR(B171)</f>
        <v>2024</v>
      </c>
      <c r="P171" s="25">
        <f>DATE(YEAR(B171),MONTH(B171),1)</f>
        <v>45383</v>
      </c>
      <c r="Q171" s="22" t="str">
        <f>IF(N171&gt;Summary!$C$17,"Outlier","")</f>
        <v/>
      </c>
      <c r="R171" s="22" t="str">
        <f>IF(L171="","None",L171)</f>
        <v>WINTER15</v>
      </c>
    </row>
    <row r="172" spans="1:18" x14ac:dyDescent="0.2">
      <c r="A172" s="22" t="s">
        <v>779</v>
      </c>
      <c r="B172" s="23">
        <v>45751</v>
      </c>
      <c r="C172" s="22" t="s">
        <v>780</v>
      </c>
      <c r="D172" s="22" t="s">
        <v>66</v>
      </c>
      <c r="E172" s="22">
        <v>4</v>
      </c>
      <c r="F172" s="24">
        <v>662.94</v>
      </c>
      <c r="G172" s="22" t="s">
        <v>781</v>
      </c>
      <c r="H172" s="22" t="s">
        <v>75</v>
      </c>
      <c r="I172" s="22" t="s">
        <v>73</v>
      </c>
      <c r="J172" s="22" t="s">
        <v>782</v>
      </c>
      <c r="K172" s="22">
        <v>8</v>
      </c>
      <c r="L172" s="22" t="s">
        <v>83</v>
      </c>
      <c r="M172" s="22" t="s">
        <v>89</v>
      </c>
      <c r="N172" s="24">
        <v>2651.76</v>
      </c>
      <c r="O172" s="22">
        <f>YEAR(B172)</f>
        <v>2025</v>
      </c>
      <c r="P172" s="25">
        <f>DATE(YEAR(B172),MONTH(B172),1)</f>
        <v>45748</v>
      </c>
      <c r="Q172" s="22" t="str">
        <f>IF(N172&gt;Summary!$C$17,"Outlier","")</f>
        <v/>
      </c>
      <c r="R172" s="22" t="str">
        <f>IF(L172="","None",L172)</f>
        <v>SAVE10</v>
      </c>
    </row>
    <row r="173" spans="1:18" x14ac:dyDescent="0.2">
      <c r="A173" s="22" t="s">
        <v>783</v>
      </c>
      <c r="B173" s="23">
        <v>45153</v>
      </c>
      <c r="C173" s="22" t="s">
        <v>784</v>
      </c>
      <c r="D173" s="22" t="s">
        <v>64</v>
      </c>
      <c r="E173" s="22">
        <v>2</v>
      </c>
      <c r="F173" s="24">
        <v>148.22</v>
      </c>
      <c r="G173" s="22" t="s">
        <v>785</v>
      </c>
      <c r="H173" s="22" t="s">
        <v>76</v>
      </c>
      <c r="I173" s="22" t="s">
        <v>69</v>
      </c>
      <c r="J173" s="22" t="s">
        <v>786</v>
      </c>
      <c r="K173" s="22">
        <v>7</v>
      </c>
      <c r="L173" s="22" t="s">
        <v>84</v>
      </c>
      <c r="M173" s="22" t="s">
        <v>89</v>
      </c>
      <c r="N173" s="24">
        <v>296.44</v>
      </c>
      <c r="O173" s="22">
        <f>YEAR(B173)</f>
        <v>2023</v>
      </c>
      <c r="P173" s="25">
        <f>DATE(YEAR(B173),MONTH(B173),1)</f>
        <v>45139</v>
      </c>
      <c r="Q173" s="22" t="str">
        <f>IF(N173&gt;Summary!$C$17,"Outlier","")</f>
        <v/>
      </c>
      <c r="R173" s="22" t="str">
        <f>IF(L173="","None",L173)</f>
        <v>WINTER15</v>
      </c>
    </row>
    <row r="174" spans="1:18" x14ac:dyDescent="0.2">
      <c r="A174" s="22" t="s">
        <v>787</v>
      </c>
      <c r="B174" s="23">
        <v>45753</v>
      </c>
      <c r="C174" s="22" t="s">
        <v>788</v>
      </c>
      <c r="D174" s="22" t="s">
        <v>62</v>
      </c>
      <c r="E174" s="22">
        <v>1</v>
      </c>
      <c r="F174" s="24">
        <v>254.12</v>
      </c>
      <c r="G174" s="22" t="s">
        <v>618</v>
      </c>
      <c r="H174" s="22" t="s">
        <v>79</v>
      </c>
      <c r="I174" s="22" t="s">
        <v>69</v>
      </c>
      <c r="J174" s="22" t="s">
        <v>789</v>
      </c>
      <c r="K174" s="22">
        <v>1</v>
      </c>
      <c r="L174" s="22" t="s">
        <v>84</v>
      </c>
      <c r="M174" s="22" t="s">
        <v>86</v>
      </c>
      <c r="N174" s="24">
        <v>254.12</v>
      </c>
      <c r="O174" s="22">
        <f>YEAR(B174)</f>
        <v>2025</v>
      </c>
      <c r="P174" s="25">
        <f>DATE(YEAR(B174),MONTH(B174),1)</f>
        <v>45748</v>
      </c>
      <c r="Q174" s="22" t="str">
        <f>IF(N174&gt;Summary!$C$17,"Outlier","")</f>
        <v/>
      </c>
      <c r="R174" s="22" t="str">
        <f>IF(L174="","None",L174)</f>
        <v>WINTER15</v>
      </c>
    </row>
    <row r="175" spans="1:18" x14ac:dyDescent="0.2">
      <c r="A175" s="22" t="s">
        <v>790</v>
      </c>
      <c r="B175" s="23">
        <v>45375</v>
      </c>
      <c r="C175" s="22" t="s">
        <v>791</v>
      </c>
      <c r="D175" s="22" t="s">
        <v>67</v>
      </c>
      <c r="E175" s="22">
        <v>3</v>
      </c>
      <c r="F175" s="24">
        <v>664.46</v>
      </c>
      <c r="G175" s="22" t="s">
        <v>792</v>
      </c>
      <c r="H175" s="22" t="s">
        <v>79</v>
      </c>
      <c r="I175" s="22" t="s">
        <v>69</v>
      </c>
      <c r="J175" s="22" t="s">
        <v>793</v>
      </c>
      <c r="K175" s="22">
        <v>4</v>
      </c>
      <c r="L175" s="22" t="s">
        <v>82</v>
      </c>
      <c r="M175" s="22" t="s">
        <v>88</v>
      </c>
      <c r="N175" s="24">
        <v>1993.38</v>
      </c>
      <c r="O175" s="22">
        <f>YEAR(B175)</f>
        <v>2024</v>
      </c>
      <c r="P175" s="25">
        <f>DATE(YEAR(B175),MONTH(B175),1)</f>
        <v>45352</v>
      </c>
      <c r="Q175" s="22" t="str">
        <f>IF(N175&gt;Summary!$C$17,"Outlier","")</f>
        <v/>
      </c>
      <c r="R175" s="22" t="str">
        <f>IF(L175="","None",L175)</f>
        <v>FREESHIP</v>
      </c>
    </row>
    <row r="176" spans="1:18" x14ac:dyDescent="0.2">
      <c r="A176" s="22" t="s">
        <v>794</v>
      </c>
      <c r="B176" s="23">
        <v>45398</v>
      </c>
      <c r="C176" s="22" t="s">
        <v>795</v>
      </c>
      <c r="D176" s="22" t="s">
        <v>62</v>
      </c>
      <c r="E176" s="22">
        <v>4</v>
      </c>
      <c r="F176" s="24">
        <v>600.80999999999995</v>
      </c>
      <c r="G176" s="22" t="s">
        <v>796</v>
      </c>
      <c r="H176" s="22" t="s">
        <v>77</v>
      </c>
      <c r="I176" s="22" t="s">
        <v>69</v>
      </c>
      <c r="J176" s="22" t="s">
        <v>797</v>
      </c>
      <c r="K176" s="22">
        <v>9</v>
      </c>
      <c r="L176" s="22" t="s">
        <v>83</v>
      </c>
      <c r="M176" s="22" t="s">
        <v>86</v>
      </c>
      <c r="N176" s="24">
        <v>2403.2399999999998</v>
      </c>
      <c r="O176" s="22">
        <f>YEAR(B176)</f>
        <v>2024</v>
      </c>
      <c r="P176" s="25">
        <f>DATE(YEAR(B176),MONTH(B176),1)</f>
        <v>45383</v>
      </c>
      <c r="Q176" s="22" t="str">
        <f>IF(N176&gt;Summary!$C$17,"Outlier","")</f>
        <v/>
      </c>
      <c r="R176" s="22" t="str">
        <f>IF(L176="","None",L176)</f>
        <v>SAVE10</v>
      </c>
    </row>
    <row r="177" spans="1:18" x14ac:dyDescent="0.2">
      <c r="A177" s="22" t="s">
        <v>798</v>
      </c>
      <c r="B177" s="23">
        <v>45696</v>
      </c>
      <c r="C177" s="22" t="s">
        <v>799</v>
      </c>
      <c r="D177" s="22" t="s">
        <v>61</v>
      </c>
      <c r="E177" s="22">
        <v>5</v>
      </c>
      <c r="F177" s="24">
        <v>68.34</v>
      </c>
      <c r="G177" s="22" t="s">
        <v>800</v>
      </c>
      <c r="H177" s="22" t="s">
        <v>77</v>
      </c>
      <c r="I177" s="22" t="s">
        <v>71</v>
      </c>
      <c r="J177" s="22" t="s">
        <v>801</v>
      </c>
      <c r="K177" s="22">
        <v>6</v>
      </c>
      <c r="L177" s="22" t="s">
        <v>84</v>
      </c>
      <c r="M177" s="22" t="s">
        <v>90</v>
      </c>
      <c r="N177" s="24">
        <v>341.7</v>
      </c>
      <c r="O177" s="22">
        <f>YEAR(B177)</f>
        <v>2025</v>
      </c>
      <c r="P177" s="25">
        <f>DATE(YEAR(B177),MONTH(B177),1)</f>
        <v>45689</v>
      </c>
      <c r="Q177" s="22" t="str">
        <f>IF(N177&gt;Summary!$C$17,"Outlier","")</f>
        <v/>
      </c>
      <c r="R177" s="22" t="str">
        <f>IF(L177="","None",L177)</f>
        <v>WINTER15</v>
      </c>
    </row>
    <row r="178" spans="1:18" x14ac:dyDescent="0.2">
      <c r="A178" s="22" t="s">
        <v>802</v>
      </c>
      <c r="B178" s="23">
        <v>45836</v>
      </c>
      <c r="C178" s="22" t="s">
        <v>803</v>
      </c>
      <c r="D178" s="22" t="s">
        <v>64</v>
      </c>
      <c r="E178" s="22">
        <v>4</v>
      </c>
      <c r="F178" s="24">
        <v>430.83</v>
      </c>
      <c r="G178" s="22" t="s">
        <v>804</v>
      </c>
      <c r="H178" s="22" t="s">
        <v>78</v>
      </c>
      <c r="I178" s="22" t="s">
        <v>71</v>
      </c>
      <c r="J178" s="22" t="s">
        <v>805</v>
      </c>
      <c r="K178" s="22">
        <v>8</v>
      </c>
      <c r="L178" s="22" t="s">
        <v>84</v>
      </c>
      <c r="M178" s="22" t="s">
        <v>90</v>
      </c>
      <c r="N178" s="24">
        <v>1723.32</v>
      </c>
      <c r="O178" s="22">
        <f>YEAR(B178)</f>
        <v>2025</v>
      </c>
      <c r="P178" s="25">
        <f>DATE(YEAR(B178),MONTH(B178),1)</f>
        <v>45809</v>
      </c>
      <c r="Q178" s="22" t="str">
        <f>IF(N178&gt;Summary!$C$17,"Outlier","")</f>
        <v/>
      </c>
      <c r="R178" s="22" t="str">
        <f>IF(L178="","None",L178)</f>
        <v>WINTER15</v>
      </c>
    </row>
    <row r="179" spans="1:18" x14ac:dyDescent="0.2">
      <c r="A179" s="22" t="s">
        <v>806</v>
      </c>
      <c r="B179" s="23">
        <v>45143</v>
      </c>
      <c r="C179" s="22" t="s">
        <v>807</v>
      </c>
      <c r="D179" s="22" t="s">
        <v>61</v>
      </c>
      <c r="E179" s="22">
        <v>5</v>
      </c>
      <c r="F179" s="24">
        <v>431.69</v>
      </c>
      <c r="G179" s="22" t="s">
        <v>808</v>
      </c>
      <c r="H179" s="22" t="s">
        <v>76</v>
      </c>
      <c r="I179" s="22" t="s">
        <v>71</v>
      </c>
      <c r="J179" s="22" t="s">
        <v>809</v>
      </c>
      <c r="K179" s="22">
        <v>10</v>
      </c>
      <c r="L179" s="22"/>
      <c r="M179" s="22" t="s">
        <v>87</v>
      </c>
      <c r="N179" s="24">
        <v>2158.4499999999998</v>
      </c>
      <c r="O179" s="22">
        <f>YEAR(B179)</f>
        <v>2023</v>
      </c>
      <c r="P179" s="25">
        <f>DATE(YEAR(B179),MONTH(B179),1)</f>
        <v>45139</v>
      </c>
      <c r="Q179" s="22" t="str">
        <f>IF(N179&gt;Summary!$C$17,"Outlier","")</f>
        <v/>
      </c>
      <c r="R179" s="22" t="str">
        <f>IF(L179="","None",L179)</f>
        <v>None</v>
      </c>
    </row>
    <row r="180" spans="1:18" x14ac:dyDescent="0.2">
      <c r="A180" s="22" t="s">
        <v>810</v>
      </c>
      <c r="B180" s="23">
        <v>45393</v>
      </c>
      <c r="C180" s="22" t="s">
        <v>811</v>
      </c>
      <c r="D180" s="22" t="s">
        <v>61</v>
      </c>
      <c r="E180" s="22">
        <v>4</v>
      </c>
      <c r="F180" s="24">
        <v>512.05999999999995</v>
      </c>
      <c r="G180" s="22" t="s">
        <v>812</v>
      </c>
      <c r="H180" s="22" t="s">
        <v>79</v>
      </c>
      <c r="I180" s="22" t="s">
        <v>69</v>
      </c>
      <c r="J180" s="22" t="s">
        <v>813</v>
      </c>
      <c r="K180" s="22">
        <v>5</v>
      </c>
      <c r="L180" s="22" t="s">
        <v>83</v>
      </c>
      <c r="M180" s="22" t="s">
        <v>88</v>
      </c>
      <c r="N180" s="24">
        <v>2048.2399999999998</v>
      </c>
      <c r="O180" s="22">
        <f>YEAR(B180)</f>
        <v>2024</v>
      </c>
      <c r="P180" s="25">
        <f>DATE(YEAR(B180),MONTH(B180),1)</f>
        <v>45383</v>
      </c>
      <c r="Q180" s="22" t="str">
        <f>IF(N180&gt;Summary!$C$17,"Outlier","")</f>
        <v/>
      </c>
      <c r="R180" s="22" t="str">
        <f>IF(L180="","None",L180)</f>
        <v>SAVE10</v>
      </c>
    </row>
    <row r="181" spans="1:18" x14ac:dyDescent="0.2">
      <c r="A181" s="22" t="s">
        <v>814</v>
      </c>
      <c r="B181" s="23">
        <v>45620</v>
      </c>
      <c r="C181" s="22" t="s">
        <v>815</v>
      </c>
      <c r="D181" s="22" t="s">
        <v>63</v>
      </c>
      <c r="E181" s="22">
        <v>3</v>
      </c>
      <c r="F181" s="24">
        <v>539.91</v>
      </c>
      <c r="G181" s="22" t="s">
        <v>816</v>
      </c>
      <c r="H181" s="22" t="s">
        <v>76</v>
      </c>
      <c r="I181" s="22" t="s">
        <v>69</v>
      </c>
      <c r="J181" s="22" t="s">
        <v>817</v>
      </c>
      <c r="K181" s="22">
        <v>8</v>
      </c>
      <c r="L181" s="22"/>
      <c r="M181" s="22" t="s">
        <v>86</v>
      </c>
      <c r="N181" s="24">
        <v>1619.73</v>
      </c>
      <c r="O181" s="22">
        <f>YEAR(B181)</f>
        <v>2024</v>
      </c>
      <c r="P181" s="25">
        <f>DATE(YEAR(B181),MONTH(B181),1)</f>
        <v>45597</v>
      </c>
      <c r="Q181" s="22" t="str">
        <f>IF(N181&gt;Summary!$C$17,"Outlier","")</f>
        <v/>
      </c>
      <c r="R181" s="22" t="str">
        <f>IF(L181="","None",L181)</f>
        <v>None</v>
      </c>
    </row>
    <row r="182" spans="1:18" x14ac:dyDescent="0.2">
      <c r="A182" s="22" t="s">
        <v>818</v>
      </c>
      <c r="B182" s="23">
        <v>45003</v>
      </c>
      <c r="C182" s="22" t="s">
        <v>819</v>
      </c>
      <c r="D182" s="22" t="s">
        <v>64</v>
      </c>
      <c r="E182" s="22">
        <v>5</v>
      </c>
      <c r="F182" s="24">
        <v>316.07</v>
      </c>
      <c r="G182" s="22" t="s">
        <v>820</v>
      </c>
      <c r="H182" s="22" t="s">
        <v>75</v>
      </c>
      <c r="I182" s="22" t="s">
        <v>72</v>
      </c>
      <c r="J182" s="22" t="s">
        <v>821</v>
      </c>
      <c r="K182" s="22">
        <v>10</v>
      </c>
      <c r="L182" s="22"/>
      <c r="M182" s="22" t="s">
        <v>88</v>
      </c>
      <c r="N182" s="24">
        <v>1580.35</v>
      </c>
      <c r="O182" s="22">
        <f>YEAR(B182)</f>
        <v>2023</v>
      </c>
      <c r="P182" s="25">
        <f>DATE(YEAR(B182),MONTH(B182),1)</f>
        <v>44986</v>
      </c>
      <c r="Q182" s="22" t="str">
        <f>IF(N182&gt;Summary!$C$17,"Outlier","")</f>
        <v/>
      </c>
      <c r="R182" s="22" t="str">
        <f>IF(L182="","None",L182)</f>
        <v>None</v>
      </c>
    </row>
    <row r="183" spans="1:18" x14ac:dyDescent="0.2">
      <c r="A183" s="22" t="s">
        <v>822</v>
      </c>
      <c r="B183" s="23">
        <v>45535</v>
      </c>
      <c r="C183" s="22" t="s">
        <v>823</v>
      </c>
      <c r="D183" s="22" t="s">
        <v>62</v>
      </c>
      <c r="E183" s="22">
        <v>5</v>
      </c>
      <c r="F183" s="24">
        <v>404.39</v>
      </c>
      <c r="G183" s="22" t="s">
        <v>824</v>
      </c>
      <c r="H183" s="22" t="s">
        <v>79</v>
      </c>
      <c r="I183" s="22" t="s">
        <v>70</v>
      </c>
      <c r="J183" s="22" t="s">
        <v>825</v>
      </c>
      <c r="K183" s="22">
        <v>10</v>
      </c>
      <c r="L183" s="22"/>
      <c r="M183" s="22" t="s">
        <v>90</v>
      </c>
      <c r="N183" s="24">
        <v>2021.95</v>
      </c>
      <c r="O183" s="22">
        <f>YEAR(B183)</f>
        <v>2024</v>
      </c>
      <c r="P183" s="25">
        <f>DATE(YEAR(B183),MONTH(B183),1)</f>
        <v>45505</v>
      </c>
      <c r="Q183" s="22" t="str">
        <f>IF(N183&gt;Summary!$C$17,"Outlier","")</f>
        <v/>
      </c>
      <c r="R183" s="22" t="str">
        <f>IF(L183="","None",L183)</f>
        <v>None</v>
      </c>
    </row>
    <row r="184" spans="1:18" x14ac:dyDescent="0.2">
      <c r="A184" s="22" t="s">
        <v>826</v>
      </c>
      <c r="B184" s="23">
        <v>45735</v>
      </c>
      <c r="C184" s="22" t="s">
        <v>827</v>
      </c>
      <c r="D184" s="22" t="s">
        <v>66</v>
      </c>
      <c r="E184" s="22">
        <v>1</v>
      </c>
      <c r="F184" s="24">
        <v>600.54</v>
      </c>
      <c r="G184" s="22" t="s">
        <v>828</v>
      </c>
      <c r="H184" s="22" t="s">
        <v>77</v>
      </c>
      <c r="I184" s="22" t="s">
        <v>71</v>
      </c>
      <c r="J184" s="22" t="s">
        <v>829</v>
      </c>
      <c r="K184" s="22">
        <v>4</v>
      </c>
      <c r="L184" s="22" t="s">
        <v>84</v>
      </c>
      <c r="M184" s="22" t="s">
        <v>88</v>
      </c>
      <c r="N184" s="24">
        <v>600.54</v>
      </c>
      <c r="O184" s="22">
        <f>YEAR(B184)</f>
        <v>2025</v>
      </c>
      <c r="P184" s="25">
        <f>DATE(YEAR(B184),MONTH(B184),1)</f>
        <v>45717</v>
      </c>
      <c r="Q184" s="22" t="str">
        <f>IF(N184&gt;Summary!$C$17,"Outlier","")</f>
        <v/>
      </c>
      <c r="R184" s="22" t="str">
        <f>IF(L184="","None",L184)</f>
        <v>WINTER15</v>
      </c>
    </row>
    <row r="185" spans="1:18" x14ac:dyDescent="0.2">
      <c r="A185" s="22" t="s">
        <v>830</v>
      </c>
      <c r="B185" s="23">
        <v>45400</v>
      </c>
      <c r="C185" s="22" t="s">
        <v>831</v>
      </c>
      <c r="D185" s="22" t="s">
        <v>65</v>
      </c>
      <c r="E185" s="22">
        <v>5</v>
      </c>
      <c r="F185" s="24">
        <v>186.28</v>
      </c>
      <c r="G185" s="22" t="s">
        <v>832</v>
      </c>
      <c r="H185" s="22" t="s">
        <v>77</v>
      </c>
      <c r="I185" s="22" t="s">
        <v>69</v>
      </c>
      <c r="J185" s="22" t="s">
        <v>833</v>
      </c>
      <c r="K185" s="22">
        <v>8</v>
      </c>
      <c r="L185" s="22" t="s">
        <v>83</v>
      </c>
      <c r="M185" s="22" t="s">
        <v>86</v>
      </c>
      <c r="N185" s="24">
        <v>931.4</v>
      </c>
      <c r="O185" s="22">
        <f>YEAR(B185)</f>
        <v>2024</v>
      </c>
      <c r="P185" s="25">
        <f>DATE(YEAR(B185),MONTH(B185),1)</f>
        <v>45383</v>
      </c>
      <c r="Q185" s="22" t="str">
        <f>IF(N185&gt;Summary!$C$17,"Outlier","")</f>
        <v/>
      </c>
      <c r="R185" s="22" t="str">
        <f>IF(L185="","None",L185)</f>
        <v>SAVE10</v>
      </c>
    </row>
    <row r="186" spans="1:18" x14ac:dyDescent="0.2">
      <c r="A186" s="22" t="s">
        <v>834</v>
      </c>
      <c r="B186" s="23">
        <v>45386</v>
      </c>
      <c r="C186" s="22" t="s">
        <v>835</v>
      </c>
      <c r="D186" s="22" t="s">
        <v>64</v>
      </c>
      <c r="E186" s="22">
        <v>4</v>
      </c>
      <c r="F186" s="24">
        <v>214.54</v>
      </c>
      <c r="G186" s="22" t="s">
        <v>836</v>
      </c>
      <c r="H186" s="22" t="s">
        <v>78</v>
      </c>
      <c r="I186" s="22" t="s">
        <v>73</v>
      </c>
      <c r="J186" s="22" t="s">
        <v>837</v>
      </c>
      <c r="K186" s="22">
        <v>7</v>
      </c>
      <c r="L186" s="22"/>
      <c r="M186" s="22" t="s">
        <v>90</v>
      </c>
      <c r="N186" s="24">
        <v>858.16</v>
      </c>
      <c r="O186" s="22">
        <f>YEAR(B186)</f>
        <v>2024</v>
      </c>
      <c r="P186" s="25">
        <f>DATE(YEAR(B186),MONTH(B186),1)</f>
        <v>45383</v>
      </c>
      <c r="Q186" s="22" t="str">
        <f>IF(N186&gt;Summary!$C$17,"Outlier","")</f>
        <v/>
      </c>
      <c r="R186" s="22" t="str">
        <f>IF(L186="","None",L186)</f>
        <v>None</v>
      </c>
    </row>
    <row r="187" spans="1:18" x14ac:dyDescent="0.2">
      <c r="A187" s="22" t="s">
        <v>838</v>
      </c>
      <c r="B187" s="23">
        <v>45690</v>
      </c>
      <c r="C187" s="22" t="s">
        <v>839</v>
      </c>
      <c r="D187" s="22" t="s">
        <v>63</v>
      </c>
      <c r="E187" s="22">
        <v>1</v>
      </c>
      <c r="F187" s="24">
        <v>210.7</v>
      </c>
      <c r="G187" s="22" t="s">
        <v>840</v>
      </c>
      <c r="H187" s="22" t="s">
        <v>79</v>
      </c>
      <c r="I187" s="22" t="s">
        <v>70</v>
      </c>
      <c r="J187" s="22" t="s">
        <v>841</v>
      </c>
      <c r="K187" s="22">
        <v>2</v>
      </c>
      <c r="L187" s="22" t="s">
        <v>84</v>
      </c>
      <c r="M187" s="22" t="s">
        <v>90</v>
      </c>
      <c r="N187" s="24">
        <v>210.7</v>
      </c>
      <c r="O187" s="22">
        <f>YEAR(B187)</f>
        <v>2025</v>
      </c>
      <c r="P187" s="25">
        <f>DATE(YEAR(B187),MONTH(B187),1)</f>
        <v>45689</v>
      </c>
      <c r="Q187" s="22" t="str">
        <f>IF(N187&gt;Summary!$C$17,"Outlier","")</f>
        <v/>
      </c>
      <c r="R187" s="22" t="str">
        <f>IF(L187="","None",L187)</f>
        <v>WINTER15</v>
      </c>
    </row>
    <row r="188" spans="1:18" x14ac:dyDescent="0.2">
      <c r="A188" s="22" t="s">
        <v>842</v>
      </c>
      <c r="B188" s="23">
        <v>45267</v>
      </c>
      <c r="C188" s="22" t="s">
        <v>843</v>
      </c>
      <c r="D188" s="22" t="s">
        <v>67</v>
      </c>
      <c r="E188" s="22">
        <v>2</v>
      </c>
      <c r="F188" s="24">
        <v>133.55000000000001</v>
      </c>
      <c r="G188" s="22" t="s">
        <v>844</v>
      </c>
      <c r="H188" s="22" t="s">
        <v>75</v>
      </c>
      <c r="I188" s="22" t="s">
        <v>71</v>
      </c>
      <c r="J188" s="22" t="s">
        <v>845</v>
      </c>
      <c r="K188" s="22">
        <v>7</v>
      </c>
      <c r="L188" s="22" t="s">
        <v>82</v>
      </c>
      <c r="M188" s="22" t="s">
        <v>87</v>
      </c>
      <c r="N188" s="24">
        <v>267.10000000000002</v>
      </c>
      <c r="O188" s="22">
        <f>YEAR(B188)</f>
        <v>2023</v>
      </c>
      <c r="P188" s="25">
        <f>DATE(YEAR(B188),MONTH(B188),1)</f>
        <v>45261</v>
      </c>
      <c r="Q188" s="22" t="str">
        <f>IF(N188&gt;Summary!$C$17,"Outlier","")</f>
        <v/>
      </c>
      <c r="R188" s="22" t="str">
        <f>IF(L188="","None",L188)</f>
        <v>FREESHIP</v>
      </c>
    </row>
    <row r="189" spans="1:18" x14ac:dyDescent="0.2">
      <c r="A189" s="22" t="s">
        <v>846</v>
      </c>
      <c r="B189" s="23">
        <v>44965</v>
      </c>
      <c r="C189" s="22" t="s">
        <v>847</v>
      </c>
      <c r="D189" s="22" t="s">
        <v>61</v>
      </c>
      <c r="E189" s="22">
        <v>1</v>
      </c>
      <c r="F189" s="24">
        <v>590.87</v>
      </c>
      <c r="G189" s="22" t="s">
        <v>848</v>
      </c>
      <c r="H189" s="22" t="s">
        <v>78</v>
      </c>
      <c r="I189" s="22" t="s">
        <v>72</v>
      </c>
      <c r="J189" s="22" t="s">
        <v>849</v>
      </c>
      <c r="K189" s="22">
        <v>6</v>
      </c>
      <c r="L189" s="22" t="s">
        <v>82</v>
      </c>
      <c r="M189" s="22" t="s">
        <v>90</v>
      </c>
      <c r="N189" s="24">
        <v>590.87</v>
      </c>
      <c r="O189" s="22">
        <f>YEAR(B189)</f>
        <v>2023</v>
      </c>
      <c r="P189" s="25">
        <f>DATE(YEAR(B189),MONTH(B189),1)</f>
        <v>44958</v>
      </c>
      <c r="Q189" s="22" t="str">
        <f>IF(N189&gt;Summary!$C$17,"Outlier","")</f>
        <v/>
      </c>
      <c r="R189" s="22" t="str">
        <f>IF(L189="","None",L189)</f>
        <v>FREESHIP</v>
      </c>
    </row>
    <row r="190" spans="1:18" x14ac:dyDescent="0.2">
      <c r="A190" s="22" t="s">
        <v>850</v>
      </c>
      <c r="B190" s="23">
        <v>45731</v>
      </c>
      <c r="C190" s="22" t="s">
        <v>851</v>
      </c>
      <c r="D190" s="22" t="s">
        <v>61</v>
      </c>
      <c r="E190" s="22">
        <v>2</v>
      </c>
      <c r="F190" s="24">
        <v>363.91</v>
      </c>
      <c r="G190" s="22" t="s">
        <v>852</v>
      </c>
      <c r="H190" s="22" t="s">
        <v>78</v>
      </c>
      <c r="I190" s="22" t="s">
        <v>70</v>
      </c>
      <c r="J190" s="22" t="s">
        <v>853</v>
      </c>
      <c r="K190" s="22">
        <v>2</v>
      </c>
      <c r="L190" s="22" t="s">
        <v>82</v>
      </c>
      <c r="M190" s="22" t="s">
        <v>90</v>
      </c>
      <c r="N190" s="24">
        <v>727.82</v>
      </c>
      <c r="O190" s="22">
        <f>YEAR(B190)</f>
        <v>2025</v>
      </c>
      <c r="P190" s="25">
        <f>DATE(YEAR(B190),MONTH(B190),1)</f>
        <v>45717</v>
      </c>
      <c r="Q190" s="22" t="str">
        <f>IF(N190&gt;Summary!$C$17,"Outlier","")</f>
        <v/>
      </c>
      <c r="R190" s="22" t="str">
        <f>IF(L190="","None",L190)</f>
        <v>FREESHIP</v>
      </c>
    </row>
    <row r="191" spans="1:18" x14ac:dyDescent="0.2">
      <c r="A191" s="22" t="s">
        <v>854</v>
      </c>
      <c r="B191" s="23">
        <v>45112</v>
      </c>
      <c r="C191" s="22" t="s">
        <v>855</v>
      </c>
      <c r="D191" s="22" t="s">
        <v>62</v>
      </c>
      <c r="E191" s="22">
        <v>5</v>
      </c>
      <c r="F191" s="24">
        <v>429.45</v>
      </c>
      <c r="G191" s="22" t="s">
        <v>856</v>
      </c>
      <c r="H191" s="22" t="s">
        <v>78</v>
      </c>
      <c r="I191" s="22" t="s">
        <v>73</v>
      </c>
      <c r="J191" s="22" t="s">
        <v>857</v>
      </c>
      <c r="K191" s="22">
        <v>5</v>
      </c>
      <c r="L191" s="22" t="s">
        <v>84</v>
      </c>
      <c r="M191" s="22" t="s">
        <v>86</v>
      </c>
      <c r="N191" s="24">
        <v>2147.25</v>
      </c>
      <c r="O191" s="22">
        <f>YEAR(B191)</f>
        <v>2023</v>
      </c>
      <c r="P191" s="25">
        <f>DATE(YEAR(B191),MONTH(B191),1)</f>
        <v>45108</v>
      </c>
      <c r="Q191" s="22" t="str">
        <f>IF(N191&gt;Summary!$C$17,"Outlier","")</f>
        <v/>
      </c>
      <c r="R191" s="22" t="str">
        <f>IF(L191="","None",L191)</f>
        <v>WINTER15</v>
      </c>
    </row>
    <row r="192" spans="1:18" x14ac:dyDescent="0.2">
      <c r="A192" s="22" t="s">
        <v>858</v>
      </c>
      <c r="B192" s="23">
        <v>45535</v>
      </c>
      <c r="C192" s="22" t="s">
        <v>859</v>
      </c>
      <c r="D192" s="22" t="s">
        <v>62</v>
      </c>
      <c r="E192" s="22">
        <v>3</v>
      </c>
      <c r="F192" s="24">
        <v>223.7</v>
      </c>
      <c r="G192" s="22" t="s">
        <v>860</v>
      </c>
      <c r="H192" s="22" t="s">
        <v>75</v>
      </c>
      <c r="I192" s="22" t="s">
        <v>72</v>
      </c>
      <c r="J192" s="22" t="s">
        <v>861</v>
      </c>
      <c r="K192" s="22">
        <v>3</v>
      </c>
      <c r="L192" s="22" t="s">
        <v>83</v>
      </c>
      <c r="M192" s="22" t="s">
        <v>86</v>
      </c>
      <c r="N192" s="24">
        <v>671.1</v>
      </c>
      <c r="O192" s="22">
        <f>YEAR(B192)</f>
        <v>2024</v>
      </c>
      <c r="P192" s="25">
        <f>DATE(YEAR(B192),MONTH(B192),1)</f>
        <v>45505</v>
      </c>
      <c r="Q192" s="22" t="str">
        <f>IF(N192&gt;Summary!$C$17,"Outlier","")</f>
        <v/>
      </c>
      <c r="R192" s="22" t="str">
        <f>IF(L192="","None",L192)</f>
        <v>SAVE10</v>
      </c>
    </row>
    <row r="193" spans="1:18" x14ac:dyDescent="0.2">
      <c r="A193" s="22" t="s">
        <v>862</v>
      </c>
      <c r="B193" s="23">
        <v>45724</v>
      </c>
      <c r="C193" s="22" t="s">
        <v>863</v>
      </c>
      <c r="D193" s="22" t="s">
        <v>63</v>
      </c>
      <c r="E193" s="22">
        <v>2</v>
      </c>
      <c r="F193" s="24">
        <v>488.87</v>
      </c>
      <c r="G193" s="22" t="s">
        <v>864</v>
      </c>
      <c r="H193" s="22" t="s">
        <v>79</v>
      </c>
      <c r="I193" s="22" t="s">
        <v>73</v>
      </c>
      <c r="J193" s="22" t="s">
        <v>865</v>
      </c>
      <c r="K193" s="22">
        <v>4</v>
      </c>
      <c r="L193" s="22" t="s">
        <v>82</v>
      </c>
      <c r="M193" s="22" t="s">
        <v>88</v>
      </c>
      <c r="N193" s="24">
        <v>977.74</v>
      </c>
      <c r="O193" s="22">
        <f>YEAR(B193)</f>
        <v>2025</v>
      </c>
      <c r="P193" s="25">
        <f>DATE(YEAR(B193),MONTH(B193),1)</f>
        <v>45717</v>
      </c>
      <c r="Q193" s="22" t="str">
        <f>IF(N193&gt;Summary!$C$17,"Outlier","")</f>
        <v/>
      </c>
      <c r="R193" s="22" t="str">
        <f>IF(L193="","None",L193)</f>
        <v>FREESHIP</v>
      </c>
    </row>
    <row r="194" spans="1:18" x14ac:dyDescent="0.2">
      <c r="A194" s="22" t="s">
        <v>866</v>
      </c>
      <c r="B194" s="23">
        <v>45149</v>
      </c>
      <c r="C194" s="22" t="s">
        <v>867</v>
      </c>
      <c r="D194" s="22" t="s">
        <v>66</v>
      </c>
      <c r="E194" s="22">
        <v>1</v>
      </c>
      <c r="F194" s="24">
        <v>645.46</v>
      </c>
      <c r="G194" s="22" t="s">
        <v>672</v>
      </c>
      <c r="H194" s="22" t="s">
        <v>78</v>
      </c>
      <c r="I194" s="22" t="s">
        <v>73</v>
      </c>
      <c r="J194" s="22" t="s">
        <v>868</v>
      </c>
      <c r="K194" s="22">
        <v>5</v>
      </c>
      <c r="L194" s="22" t="s">
        <v>83</v>
      </c>
      <c r="M194" s="22" t="s">
        <v>88</v>
      </c>
      <c r="N194" s="24">
        <v>645.46</v>
      </c>
      <c r="O194" s="22">
        <f>YEAR(B194)</f>
        <v>2023</v>
      </c>
      <c r="P194" s="25">
        <f>DATE(YEAR(B194),MONTH(B194),1)</f>
        <v>45139</v>
      </c>
      <c r="Q194" s="22" t="str">
        <f>IF(N194&gt;Summary!$C$17,"Outlier","")</f>
        <v/>
      </c>
      <c r="R194" s="22" t="str">
        <f>IF(L194="","None",L194)</f>
        <v>SAVE10</v>
      </c>
    </row>
    <row r="195" spans="1:18" x14ac:dyDescent="0.2">
      <c r="A195" s="22" t="s">
        <v>869</v>
      </c>
      <c r="B195" s="23">
        <v>45128</v>
      </c>
      <c r="C195" s="22" t="s">
        <v>870</v>
      </c>
      <c r="D195" s="22" t="s">
        <v>62</v>
      </c>
      <c r="E195" s="22">
        <v>1</v>
      </c>
      <c r="F195" s="24">
        <v>46.66</v>
      </c>
      <c r="G195" s="22" t="s">
        <v>871</v>
      </c>
      <c r="H195" s="22" t="s">
        <v>75</v>
      </c>
      <c r="I195" s="22" t="s">
        <v>73</v>
      </c>
      <c r="J195" s="22" t="s">
        <v>872</v>
      </c>
      <c r="K195" s="22">
        <v>6</v>
      </c>
      <c r="L195" s="22"/>
      <c r="M195" s="22" t="s">
        <v>88</v>
      </c>
      <c r="N195" s="24">
        <v>46.66</v>
      </c>
      <c r="O195" s="22">
        <f>YEAR(B195)</f>
        <v>2023</v>
      </c>
      <c r="P195" s="25">
        <f>DATE(YEAR(B195),MONTH(B195),1)</f>
        <v>45108</v>
      </c>
      <c r="Q195" s="22" t="str">
        <f>IF(N195&gt;Summary!$C$17,"Outlier","")</f>
        <v/>
      </c>
      <c r="R195" s="22" t="str">
        <f>IF(L195="","None",L195)</f>
        <v>None</v>
      </c>
    </row>
    <row r="196" spans="1:18" x14ac:dyDescent="0.2">
      <c r="A196" s="22" t="s">
        <v>873</v>
      </c>
      <c r="B196" s="23">
        <v>45451</v>
      </c>
      <c r="C196" s="22" t="s">
        <v>874</v>
      </c>
      <c r="D196" s="22" t="s">
        <v>65</v>
      </c>
      <c r="E196" s="22">
        <v>1</v>
      </c>
      <c r="F196" s="24">
        <v>249.57</v>
      </c>
      <c r="G196" s="22" t="s">
        <v>875</v>
      </c>
      <c r="H196" s="22" t="s">
        <v>75</v>
      </c>
      <c r="I196" s="22" t="s">
        <v>70</v>
      </c>
      <c r="J196" s="22" t="s">
        <v>876</v>
      </c>
      <c r="K196" s="22">
        <v>3</v>
      </c>
      <c r="L196" s="22" t="s">
        <v>82</v>
      </c>
      <c r="M196" s="22" t="s">
        <v>88</v>
      </c>
      <c r="N196" s="24">
        <v>249.57</v>
      </c>
      <c r="O196" s="22">
        <f>YEAR(B196)</f>
        <v>2024</v>
      </c>
      <c r="P196" s="25">
        <f>DATE(YEAR(B196),MONTH(B196),1)</f>
        <v>45444</v>
      </c>
      <c r="Q196" s="22" t="str">
        <f>IF(N196&gt;Summary!$C$17,"Outlier","")</f>
        <v/>
      </c>
      <c r="R196" s="22" t="str">
        <f>IF(L196="","None",L196)</f>
        <v>FREESHIP</v>
      </c>
    </row>
    <row r="197" spans="1:18" x14ac:dyDescent="0.2">
      <c r="A197" s="22" t="s">
        <v>877</v>
      </c>
      <c r="B197" s="23">
        <v>45404</v>
      </c>
      <c r="C197" s="22" t="s">
        <v>878</v>
      </c>
      <c r="D197" s="22" t="s">
        <v>61</v>
      </c>
      <c r="E197" s="22">
        <v>3</v>
      </c>
      <c r="F197" s="24">
        <v>619.21</v>
      </c>
      <c r="G197" s="22" t="s">
        <v>879</v>
      </c>
      <c r="H197" s="22" t="s">
        <v>77</v>
      </c>
      <c r="I197" s="22" t="s">
        <v>73</v>
      </c>
      <c r="J197" s="22" t="s">
        <v>880</v>
      </c>
      <c r="K197" s="22">
        <v>6</v>
      </c>
      <c r="L197" s="22"/>
      <c r="M197" s="22" t="s">
        <v>86</v>
      </c>
      <c r="N197" s="24">
        <v>1857.63</v>
      </c>
      <c r="O197" s="22">
        <f>YEAR(B197)</f>
        <v>2024</v>
      </c>
      <c r="P197" s="25">
        <f>DATE(YEAR(B197),MONTH(B197),1)</f>
        <v>45383</v>
      </c>
      <c r="Q197" s="22" t="str">
        <f>IF(N197&gt;Summary!$C$17,"Outlier","")</f>
        <v/>
      </c>
      <c r="R197" s="22" t="str">
        <f>IF(L197="","None",L197)</f>
        <v>None</v>
      </c>
    </row>
    <row r="198" spans="1:18" x14ac:dyDescent="0.2">
      <c r="A198" s="22" t="s">
        <v>881</v>
      </c>
      <c r="B198" s="23">
        <v>45681</v>
      </c>
      <c r="C198" s="22" t="s">
        <v>882</v>
      </c>
      <c r="D198" s="22" t="s">
        <v>66</v>
      </c>
      <c r="E198" s="22">
        <v>4</v>
      </c>
      <c r="F198" s="24">
        <v>217.13</v>
      </c>
      <c r="G198" s="22" t="s">
        <v>883</v>
      </c>
      <c r="H198" s="22" t="s">
        <v>75</v>
      </c>
      <c r="I198" s="22" t="s">
        <v>69</v>
      </c>
      <c r="J198" s="22" t="s">
        <v>884</v>
      </c>
      <c r="K198" s="22">
        <v>8</v>
      </c>
      <c r="L198" s="22" t="s">
        <v>84</v>
      </c>
      <c r="M198" s="22" t="s">
        <v>86</v>
      </c>
      <c r="N198" s="24">
        <v>868.52</v>
      </c>
      <c r="O198" s="22">
        <f>YEAR(B198)</f>
        <v>2025</v>
      </c>
      <c r="P198" s="25">
        <f>DATE(YEAR(B198),MONTH(B198),1)</f>
        <v>45658</v>
      </c>
      <c r="Q198" s="22" t="str">
        <f>IF(N198&gt;Summary!$C$17,"Outlier","")</f>
        <v/>
      </c>
      <c r="R198" s="22" t="str">
        <f>IF(L198="","None",L198)</f>
        <v>WINTER15</v>
      </c>
    </row>
    <row r="199" spans="1:18" x14ac:dyDescent="0.2">
      <c r="A199" s="22" t="s">
        <v>885</v>
      </c>
      <c r="B199" s="23">
        <v>45165</v>
      </c>
      <c r="C199" s="22" t="s">
        <v>886</v>
      </c>
      <c r="D199" s="22" t="s">
        <v>63</v>
      </c>
      <c r="E199" s="22">
        <v>5</v>
      </c>
      <c r="F199" s="24">
        <v>221.51</v>
      </c>
      <c r="G199" s="22" t="s">
        <v>887</v>
      </c>
      <c r="H199" s="22" t="s">
        <v>75</v>
      </c>
      <c r="I199" s="22" t="s">
        <v>72</v>
      </c>
      <c r="J199" s="22" t="s">
        <v>888</v>
      </c>
      <c r="K199" s="22">
        <v>5</v>
      </c>
      <c r="L199" s="22" t="s">
        <v>84</v>
      </c>
      <c r="M199" s="22" t="s">
        <v>90</v>
      </c>
      <c r="N199" s="24">
        <v>1107.55</v>
      </c>
      <c r="O199" s="22">
        <f>YEAR(B199)</f>
        <v>2023</v>
      </c>
      <c r="P199" s="25">
        <f>DATE(YEAR(B199),MONTH(B199),1)</f>
        <v>45139</v>
      </c>
      <c r="Q199" s="22" t="str">
        <f>IF(N199&gt;Summary!$C$17,"Outlier","")</f>
        <v/>
      </c>
      <c r="R199" s="22" t="str">
        <f>IF(L199="","None",L199)</f>
        <v>WINTER15</v>
      </c>
    </row>
    <row r="200" spans="1:18" x14ac:dyDescent="0.2">
      <c r="A200" s="22" t="s">
        <v>889</v>
      </c>
      <c r="B200" s="23">
        <v>45454</v>
      </c>
      <c r="C200" s="22" t="s">
        <v>890</v>
      </c>
      <c r="D200" s="22" t="s">
        <v>63</v>
      </c>
      <c r="E200" s="22">
        <v>4</v>
      </c>
      <c r="F200" s="24">
        <v>340.3</v>
      </c>
      <c r="G200" s="22" t="s">
        <v>255</v>
      </c>
      <c r="H200" s="22" t="s">
        <v>75</v>
      </c>
      <c r="I200" s="22" t="s">
        <v>73</v>
      </c>
      <c r="J200" s="22" t="s">
        <v>891</v>
      </c>
      <c r="K200" s="22">
        <v>8</v>
      </c>
      <c r="L200" s="22" t="s">
        <v>83</v>
      </c>
      <c r="M200" s="22" t="s">
        <v>90</v>
      </c>
      <c r="N200" s="24">
        <v>1361.2</v>
      </c>
      <c r="O200" s="22">
        <f>YEAR(B200)</f>
        <v>2024</v>
      </c>
      <c r="P200" s="25">
        <f>DATE(YEAR(B200),MONTH(B200),1)</f>
        <v>45444</v>
      </c>
      <c r="Q200" s="22" t="str">
        <f>IF(N200&gt;Summary!$C$17,"Outlier","")</f>
        <v/>
      </c>
      <c r="R200" s="22" t="str">
        <f>IF(L200="","None",L200)</f>
        <v>SAVE10</v>
      </c>
    </row>
    <row r="201" spans="1:18" x14ac:dyDescent="0.2">
      <c r="A201" s="22" t="s">
        <v>892</v>
      </c>
      <c r="B201" s="23">
        <v>45680</v>
      </c>
      <c r="C201" s="22" t="s">
        <v>893</v>
      </c>
      <c r="D201" s="22" t="s">
        <v>67</v>
      </c>
      <c r="E201" s="22">
        <v>1</v>
      </c>
      <c r="F201" s="24">
        <v>625</v>
      </c>
      <c r="G201" s="22" t="s">
        <v>894</v>
      </c>
      <c r="H201" s="22" t="s">
        <v>79</v>
      </c>
      <c r="I201" s="22" t="s">
        <v>72</v>
      </c>
      <c r="J201" s="22" t="s">
        <v>895</v>
      </c>
      <c r="K201" s="22">
        <v>5</v>
      </c>
      <c r="L201" s="22" t="s">
        <v>84</v>
      </c>
      <c r="M201" s="22" t="s">
        <v>88</v>
      </c>
      <c r="N201" s="24">
        <v>625</v>
      </c>
      <c r="O201" s="22">
        <f>YEAR(B201)</f>
        <v>2025</v>
      </c>
      <c r="P201" s="25">
        <f>DATE(YEAR(B201),MONTH(B201),1)</f>
        <v>45658</v>
      </c>
      <c r="Q201" s="22" t="str">
        <f>IF(N201&gt;Summary!$C$17,"Outlier","")</f>
        <v/>
      </c>
      <c r="R201" s="22" t="str">
        <f>IF(L201="","None",L201)</f>
        <v>WINTER15</v>
      </c>
    </row>
    <row r="202" spans="1:18" x14ac:dyDescent="0.2">
      <c r="A202" s="22" t="s">
        <v>896</v>
      </c>
      <c r="B202" s="23">
        <v>45815</v>
      </c>
      <c r="C202" s="22" t="s">
        <v>897</v>
      </c>
      <c r="D202" s="22" t="s">
        <v>64</v>
      </c>
      <c r="E202" s="22">
        <v>5</v>
      </c>
      <c r="F202" s="24">
        <v>433.26</v>
      </c>
      <c r="G202" s="22" t="s">
        <v>239</v>
      </c>
      <c r="H202" s="22" t="s">
        <v>76</v>
      </c>
      <c r="I202" s="22" t="s">
        <v>69</v>
      </c>
      <c r="J202" s="22" t="s">
        <v>898</v>
      </c>
      <c r="K202" s="22">
        <v>9</v>
      </c>
      <c r="L202" s="22" t="s">
        <v>83</v>
      </c>
      <c r="M202" s="22" t="s">
        <v>88</v>
      </c>
      <c r="N202" s="24">
        <v>2166.3000000000002</v>
      </c>
      <c r="O202" s="22">
        <f>YEAR(B202)</f>
        <v>2025</v>
      </c>
      <c r="P202" s="25">
        <f>DATE(YEAR(B202),MONTH(B202),1)</f>
        <v>45809</v>
      </c>
      <c r="Q202" s="22" t="str">
        <f>IF(N202&gt;Summary!$C$17,"Outlier","")</f>
        <v/>
      </c>
      <c r="R202" s="22" t="str">
        <f>IF(L202="","None",L202)</f>
        <v>SAVE10</v>
      </c>
    </row>
    <row r="203" spans="1:18" x14ac:dyDescent="0.2">
      <c r="A203" s="22" t="s">
        <v>899</v>
      </c>
      <c r="B203" s="23">
        <v>45095</v>
      </c>
      <c r="C203" s="22" t="s">
        <v>900</v>
      </c>
      <c r="D203" s="22" t="s">
        <v>65</v>
      </c>
      <c r="E203" s="22">
        <v>2</v>
      </c>
      <c r="F203" s="24">
        <v>674.9</v>
      </c>
      <c r="G203" s="22" t="s">
        <v>425</v>
      </c>
      <c r="H203" s="22" t="s">
        <v>79</v>
      </c>
      <c r="I203" s="22" t="s">
        <v>70</v>
      </c>
      <c r="J203" s="22" t="s">
        <v>901</v>
      </c>
      <c r="K203" s="22">
        <v>4</v>
      </c>
      <c r="L203" s="22" t="s">
        <v>83</v>
      </c>
      <c r="M203" s="22" t="s">
        <v>87</v>
      </c>
      <c r="N203" s="24">
        <v>1349.8</v>
      </c>
      <c r="O203" s="22">
        <f>YEAR(B203)</f>
        <v>2023</v>
      </c>
      <c r="P203" s="25">
        <f>DATE(YEAR(B203),MONTH(B203),1)</f>
        <v>45078</v>
      </c>
      <c r="Q203" s="22" t="str">
        <f>IF(N203&gt;Summary!$C$17,"Outlier","")</f>
        <v/>
      </c>
      <c r="R203" s="22" t="str">
        <f>IF(L203="","None",L203)</f>
        <v>SAVE10</v>
      </c>
    </row>
    <row r="204" spans="1:18" x14ac:dyDescent="0.2">
      <c r="A204" s="22" t="s">
        <v>902</v>
      </c>
      <c r="B204" s="23">
        <v>45694</v>
      </c>
      <c r="C204" s="22" t="s">
        <v>903</v>
      </c>
      <c r="D204" s="22" t="s">
        <v>65</v>
      </c>
      <c r="E204" s="22">
        <v>3</v>
      </c>
      <c r="F204" s="24">
        <v>253.98</v>
      </c>
      <c r="G204" s="22" t="s">
        <v>642</v>
      </c>
      <c r="H204" s="22" t="s">
        <v>76</v>
      </c>
      <c r="I204" s="22" t="s">
        <v>73</v>
      </c>
      <c r="J204" s="22" t="s">
        <v>904</v>
      </c>
      <c r="K204" s="22">
        <v>3</v>
      </c>
      <c r="L204" s="22" t="s">
        <v>82</v>
      </c>
      <c r="M204" s="22" t="s">
        <v>86</v>
      </c>
      <c r="N204" s="24">
        <v>761.94</v>
      </c>
      <c r="O204" s="22">
        <f>YEAR(B204)</f>
        <v>2025</v>
      </c>
      <c r="P204" s="25">
        <f>DATE(YEAR(B204),MONTH(B204),1)</f>
        <v>45689</v>
      </c>
      <c r="Q204" s="22" t="str">
        <f>IF(N204&gt;Summary!$C$17,"Outlier","")</f>
        <v/>
      </c>
      <c r="R204" s="22" t="str">
        <f>IF(L204="","None",L204)</f>
        <v>FREESHIP</v>
      </c>
    </row>
    <row r="205" spans="1:18" x14ac:dyDescent="0.2">
      <c r="A205" s="22" t="s">
        <v>905</v>
      </c>
      <c r="B205" s="23">
        <v>45678</v>
      </c>
      <c r="C205" s="22" t="s">
        <v>906</v>
      </c>
      <c r="D205" s="22" t="s">
        <v>62</v>
      </c>
      <c r="E205" s="22">
        <v>3</v>
      </c>
      <c r="F205" s="24">
        <v>356.84</v>
      </c>
      <c r="G205" s="22" t="s">
        <v>907</v>
      </c>
      <c r="H205" s="22" t="s">
        <v>79</v>
      </c>
      <c r="I205" s="22" t="s">
        <v>70</v>
      </c>
      <c r="J205" s="22" t="s">
        <v>908</v>
      </c>
      <c r="K205" s="22">
        <v>5</v>
      </c>
      <c r="L205" s="22" t="s">
        <v>83</v>
      </c>
      <c r="M205" s="22" t="s">
        <v>89</v>
      </c>
      <c r="N205" s="24">
        <v>1070.52</v>
      </c>
      <c r="O205" s="22">
        <f>YEAR(B205)</f>
        <v>2025</v>
      </c>
      <c r="P205" s="25">
        <f>DATE(YEAR(B205),MONTH(B205),1)</f>
        <v>45658</v>
      </c>
      <c r="Q205" s="22" t="str">
        <f>IF(N205&gt;Summary!$C$17,"Outlier","")</f>
        <v/>
      </c>
      <c r="R205" s="22" t="str">
        <f>IF(L205="","None",L205)</f>
        <v>SAVE10</v>
      </c>
    </row>
    <row r="206" spans="1:18" x14ac:dyDescent="0.2">
      <c r="A206" s="22" t="s">
        <v>909</v>
      </c>
      <c r="B206" s="23">
        <v>45174</v>
      </c>
      <c r="C206" s="22" t="s">
        <v>910</v>
      </c>
      <c r="D206" s="22" t="s">
        <v>63</v>
      </c>
      <c r="E206" s="22">
        <v>4</v>
      </c>
      <c r="F206" s="24">
        <v>413.71</v>
      </c>
      <c r="G206" s="22" t="s">
        <v>661</v>
      </c>
      <c r="H206" s="22" t="s">
        <v>78</v>
      </c>
      <c r="I206" s="22" t="s">
        <v>73</v>
      </c>
      <c r="J206" s="22" t="s">
        <v>911</v>
      </c>
      <c r="K206" s="22">
        <v>9</v>
      </c>
      <c r="L206" s="22" t="s">
        <v>82</v>
      </c>
      <c r="M206" s="22" t="s">
        <v>87</v>
      </c>
      <c r="N206" s="24">
        <v>1654.84</v>
      </c>
      <c r="O206" s="22">
        <f>YEAR(B206)</f>
        <v>2023</v>
      </c>
      <c r="P206" s="25">
        <f>DATE(YEAR(B206),MONTH(B206),1)</f>
        <v>45170</v>
      </c>
      <c r="Q206" s="22" t="str">
        <f>IF(N206&gt;Summary!$C$17,"Outlier","")</f>
        <v/>
      </c>
      <c r="R206" s="22" t="str">
        <f>IF(L206="","None",L206)</f>
        <v>FREESHIP</v>
      </c>
    </row>
    <row r="207" spans="1:18" x14ac:dyDescent="0.2">
      <c r="A207" s="22" t="s">
        <v>912</v>
      </c>
      <c r="B207" s="23">
        <v>44989</v>
      </c>
      <c r="C207" s="22" t="s">
        <v>913</v>
      </c>
      <c r="D207" s="22" t="s">
        <v>66</v>
      </c>
      <c r="E207" s="22">
        <v>3</v>
      </c>
      <c r="F207" s="24">
        <v>147.38999999999999</v>
      </c>
      <c r="G207" s="22" t="s">
        <v>914</v>
      </c>
      <c r="H207" s="22" t="s">
        <v>77</v>
      </c>
      <c r="I207" s="22" t="s">
        <v>72</v>
      </c>
      <c r="J207" s="22" t="s">
        <v>915</v>
      </c>
      <c r="K207" s="22">
        <v>3</v>
      </c>
      <c r="L207" s="22"/>
      <c r="M207" s="22" t="s">
        <v>86</v>
      </c>
      <c r="N207" s="24">
        <v>442.17</v>
      </c>
      <c r="O207" s="22">
        <f>YEAR(B207)</f>
        <v>2023</v>
      </c>
      <c r="P207" s="25">
        <f>DATE(YEAR(B207),MONTH(B207),1)</f>
        <v>44986</v>
      </c>
      <c r="Q207" s="22" t="str">
        <f>IF(N207&gt;Summary!$C$17,"Outlier","")</f>
        <v/>
      </c>
      <c r="R207" s="22" t="str">
        <f>IF(L207="","None",L207)</f>
        <v>None</v>
      </c>
    </row>
    <row r="208" spans="1:18" x14ac:dyDescent="0.2">
      <c r="A208" s="22" t="s">
        <v>916</v>
      </c>
      <c r="B208" s="23">
        <v>45398</v>
      </c>
      <c r="C208" s="22" t="s">
        <v>917</v>
      </c>
      <c r="D208" s="22" t="s">
        <v>63</v>
      </c>
      <c r="E208" s="22">
        <v>4</v>
      </c>
      <c r="F208" s="24">
        <v>229.1</v>
      </c>
      <c r="G208" s="22" t="s">
        <v>918</v>
      </c>
      <c r="H208" s="22" t="s">
        <v>78</v>
      </c>
      <c r="I208" s="22" t="s">
        <v>72</v>
      </c>
      <c r="J208" s="22" t="s">
        <v>919</v>
      </c>
      <c r="K208" s="22">
        <v>8</v>
      </c>
      <c r="L208" s="22" t="s">
        <v>84</v>
      </c>
      <c r="M208" s="22" t="s">
        <v>86</v>
      </c>
      <c r="N208" s="24">
        <v>916.4</v>
      </c>
      <c r="O208" s="22">
        <f>YEAR(B208)</f>
        <v>2024</v>
      </c>
      <c r="P208" s="25">
        <f>DATE(YEAR(B208),MONTH(B208),1)</f>
        <v>45383</v>
      </c>
      <c r="Q208" s="22" t="str">
        <f>IF(N208&gt;Summary!$C$17,"Outlier","")</f>
        <v/>
      </c>
      <c r="R208" s="22" t="str">
        <f>IF(L208="","None",L208)</f>
        <v>WINTER15</v>
      </c>
    </row>
    <row r="209" spans="1:18" x14ac:dyDescent="0.2">
      <c r="A209" s="22" t="s">
        <v>920</v>
      </c>
      <c r="B209" s="23">
        <v>45734</v>
      </c>
      <c r="C209" s="22" t="s">
        <v>921</v>
      </c>
      <c r="D209" s="22" t="s">
        <v>67</v>
      </c>
      <c r="E209" s="22">
        <v>1</v>
      </c>
      <c r="F209" s="24">
        <v>121.96</v>
      </c>
      <c r="G209" s="22" t="s">
        <v>922</v>
      </c>
      <c r="H209" s="22" t="s">
        <v>77</v>
      </c>
      <c r="I209" s="22" t="s">
        <v>69</v>
      </c>
      <c r="J209" s="22" t="s">
        <v>923</v>
      </c>
      <c r="K209" s="22">
        <v>3</v>
      </c>
      <c r="L209" s="22"/>
      <c r="M209" s="22" t="s">
        <v>88</v>
      </c>
      <c r="N209" s="24">
        <v>121.96</v>
      </c>
      <c r="O209" s="22">
        <f>YEAR(B209)</f>
        <v>2025</v>
      </c>
      <c r="P209" s="25">
        <f>DATE(YEAR(B209),MONTH(B209),1)</f>
        <v>45717</v>
      </c>
      <c r="Q209" s="22" t="str">
        <f>IF(N209&gt;Summary!$C$17,"Outlier","")</f>
        <v/>
      </c>
      <c r="R209" s="22" t="str">
        <f>IF(L209="","None",L209)</f>
        <v>None</v>
      </c>
    </row>
    <row r="210" spans="1:18" x14ac:dyDescent="0.2">
      <c r="A210" s="22" t="s">
        <v>924</v>
      </c>
      <c r="B210" s="23">
        <v>45573</v>
      </c>
      <c r="C210" s="22" t="s">
        <v>925</v>
      </c>
      <c r="D210" s="22" t="s">
        <v>66</v>
      </c>
      <c r="E210" s="22">
        <v>2</v>
      </c>
      <c r="F210" s="24">
        <v>408.32</v>
      </c>
      <c r="G210" s="22" t="s">
        <v>856</v>
      </c>
      <c r="H210" s="22" t="s">
        <v>79</v>
      </c>
      <c r="I210" s="22" t="s">
        <v>70</v>
      </c>
      <c r="J210" s="22" t="s">
        <v>926</v>
      </c>
      <c r="K210" s="22">
        <v>3</v>
      </c>
      <c r="L210" s="22" t="s">
        <v>82</v>
      </c>
      <c r="M210" s="22" t="s">
        <v>87</v>
      </c>
      <c r="N210" s="24">
        <v>816.64</v>
      </c>
      <c r="O210" s="22">
        <f>YEAR(B210)</f>
        <v>2024</v>
      </c>
      <c r="P210" s="25">
        <f>DATE(YEAR(B210),MONTH(B210),1)</f>
        <v>45566</v>
      </c>
      <c r="Q210" s="22" t="str">
        <f>IF(N210&gt;Summary!$C$17,"Outlier","")</f>
        <v/>
      </c>
      <c r="R210" s="22" t="str">
        <f>IF(L210="","None",L210)</f>
        <v>FREESHIP</v>
      </c>
    </row>
    <row r="211" spans="1:18" x14ac:dyDescent="0.2">
      <c r="A211" s="22" t="s">
        <v>927</v>
      </c>
      <c r="B211" s="23">
        <v>45167</v>
      </c>
      <c r="C211" s="22" t="s">
        <v>928</v>
      </c>
      <c r="D211" s="22" t="s">
        <v>64</v>
      </c>
      <c r="E211" s="22">
        <v>5</v>
      </c>
      <c r="F211" s="24">
        <v>187.97</v>
      </c>
      <c r="G211" s="22" t="s">
        <v>147</v>
      </c>
      <c r="H211" s="22" t="s">
        <v>75</v>
      </c>
      <c r="I211" s="22" t="s">
        <v>72</v>
      </c>
      <c r="J211" s="22" t="s">
        <v>929</v>
      </c>
      <c r="K211" s="22">
        <v>9</v>
      </c>
      <c r="L211" s="22" t="s">
        <v>83</v>
      </c>
      <c r="M211" s="22" t="s">
        <v>88</v>
      </c>
      <c r="N211" s="24">
        <v>939.85</v>
      </c>
      <c r="O211" s="22">
        <f>YEAR(B211)</f>
        <v>2023</v>
      </c>
      <c r="P211" s="25">
        <f>DATE(YEAR(B211),MONTH(B211),1)</f>
        <v>45139</v>
      </c>
      <c r="Q211" s="22" t="str">
        <f>IF(N211&gt;Summary!$C$17,"Outlier","")</f>
        <v/>
      </c>
      <c r="R211" s="22" t="str">
        <f>IF(L211="","None",L211)</f>
        <v>SAVE10</v>
      </c>
    </row>
    <row r="212" spans="1:18" x14ac:dyDescent="0.2">
      <c r="A212" s="22" t="s">
        <v>930</v>
      </c>
      <c r="B212" s="23">
        <v>45631</v>
      </c>
      <c r="C212" s="22" t="s">
        <v>931</v>
      </c>
      <c r="D212" s="22" t="s">
        <v>61</v>
      </c>
      <c r="E212" s="22">
        <v>3</v>
      </c>
      <c r="F212" s="24">
        <v>358.48</v>
      </c>
      <c r="G212" s="22" t="s">
        <v>630</v>
      </c>
      <c r="H212" s="22" t="s">
        <v>78</v>
      </c>
      <c r="I212" s="22" t="s">
        <v>69</v>
      </c>
      <c r="J212" s="22" t="s">
        <v>932</v>
      </c>
      <c r="K212" s="22">
        <v>7</v>
      </c>
      <c r="L212" s="22" t="s">
        <v>82</v>
      </c>
      <c r="M212" s="22" t="s">
        <v>87</v>
      </c>
      <c r="N212" s="24">
        <v>1075.44</v>
      </c>
      <c r="O212" s="22">
        <f>YEAR(B212)</f>
        <v>2024</v>
      </c>
      <c r="P212" s="25">
        <f>DATE(YEAR(B212),MONTH(B212),1)</f>
        <v>45627</v>
      </c>
      <c r="Q212" s="22" t="str">
        <f>IF(N212&gt;Summary!$C$17,"Outlier","")</f>
        <v/>
      </c>
      <c r="R212" s="22" t="str">
        <f>IF(L212="","None",L212)</f>
        <v>FREESHIP</v>
      </c>
    </row>
    <row r="213" spans="1:18" x14ac:dyDescent="0.2">
      <c r="A213" s="22" t="s">
        <v>933</v>
      </c>
      <c r="B213" s="23">
        <v>45660</v>
      </c>
      <c r="C213" s="22" t="s">
        <v>934</v>
      </c>
      <c r="D213" s="22" t="s">
        <v>62</v>
      </c>
      <c r="E213" s="22">
        <v>3</v>
      </c>
      <c r="F213" s="24">
        <v>193.58</v>
      </c>
      <c r="G213" s="22" t="s">
        <v>935</v>
      </c>
      <c r="H213" s="22" t="s">
        <v>78</v>
      </c>
      <c r="I213" s="22" t="s">
        <v>71</v>
      </c>
      <c r="J213" s="22" t="s">
        <v>936</v>
      </c>
      <c r="K213" s="22">
        <v>7</v>
      </c>
      <c r="L213" s="22" t="s">
        <v>82</v>
      </c>
      <c r="M213" s="22" t="s">
        <v>86</v>
      </c>
      <c r="N213" s="24">
        <v>580.74</v>
      </c>
      <c r="O213" s="22">
        <f>YEAR(B213)</f>
        <v>2025</v>
      </c>
      <c r="P213" s="25">
        <f>DATE(YEAR(B213),MONTH(B213),1)</f>
        <v>45658</v>
      </c>
      <c r="Q213" s="22" t="str">
        <f>IF(N213&gt;Summary!$C$17,"Outlier","")</f>
        <v/>
      </c>
      <c r="R213" s="22" t="str">
        <f>IF(L213="","None",L213)</f>
        <v>FREESHIP</v>
      </c>
    </row>
    <row r="214" spans="1:18" x14ac:dyDescent="0.2">
      <c r="A214" s="22" t="s">
        <v>937</v>
      </c>
      <c r="B214" s="23">
        <v>45097</v>
      </c>
      <c r="C214" s="22" t="s">
        <v>938</v>
      </c>
      <c r="D214" s="22" t="s">
        <v>65</v>
      </c>
      <c r="E214" s="22">
        <v>1</v>
      </c>
      <c r="F214" s="24">
        <v>265.38</v>
      </c>
      <c r="G214" s="22" t="s">
        <v>939</v>
      </c>
      <c r="H214" s="22" t="s">
        <v>76</v>
      </c>
      <c r="I214" s="22" t="s">
        <v>73</v>
      </c>
      <c r="J214" s="22" t="s">
        <v>940</v>
      </c>
      <c r="K214" s="22">
        <v>6</v>
      </c>
      <c r="L214" s="22" t="s">
        <v>84</v>
      </c>
      <c r="M214" s="22" t="s">
        <v>86</v>
      </c>
      <c r="N214" s="24">
        <v>265.38</v>
      </c>
      <c r="O214" s="22">
        <f>YEAR(B214)</f>
        <v>2023</v>
      </c>
      <c r="P214" s="25">
        <f>DATE(YEAR(B214),MONTH(B214),1)</f>
        <v>45078</v>
      </c>
      <c r="Q214" s="22" t="str">
        <f>IF(N214&gt;Summary!$C$17,"Outlier","")</f>
        <v/>
      </c>
      <c r="R214" s="22" t="str">
        <f>IF(L214="","None",L214)</f>
        <v>WINTER15</v>
      </c>
    </row>
    <row r="215" spans="1:18" x14ac:dyDescent="0.2">
      <c r="A215" s="22" t="s">
        <v>941</v>
      </c>
      <c r="B215" s="23">
        <v>45036</v>
      </c>
      <c r="C215" s="22" t="s">
        <v>942</v>
      </c>
      <c r="D215" s="22" t="s">
        <v>63</v>
      </c>
      <c r="E215" s="22">
        <v>1</v>
      </c>
      <c r="F215" s="24">
        <v>634.4</v>
      </c>
      <c r="G215" s="22" t="s">
        <v>943</v>
      </c>
      <c r="H215" s="22" t="s">
        <v>75</v>
      </c>
      <c r="I215" s="22" t="s">
        <v>73</v>
      </c>
      <c r="J215" s="22" t="s">
        <v>944</v>
      </c>
      <c r="K215" s="22">
        <v>6</v>
      </c>
      <c r="L215" s="22" t="s">
        <v>83</v>
      </c>
      <c r="M215" s="22" t="s">
        <v>86</v>
      </c>
      <c r="N215" s="24">
        <v>634.4</v>
      </c>
      <c r="O215" s="22">
        <f>YEAR(B215)</f>
        <v>2023</v>
      </c>
      <c r="P215" s="25">
        <f>DATE(YEAR(B215),MONTH(B215),1)</f>
        <v>45017</v>
      </c>
      <c r="Q215" s="22" t="str">
        <f>IF(N215&gt;Summary!$C$17,"Outlier","")</f>
        <v/>
      </c>
      <c r="R215" s="22" t="str">
        <f>IF(L215="","None",L215)</f>
        <v>SAVE10</v>
      </c>
    </row>
    <row r="216" spans="1:18" x14ac:dyDescent="0.2">
      <c r="A216" s="22" t="s">
        <v>945</v>
      </c>
      <c r="B216" s="23">
        <v>45525</v>
      </c>
      <c r="C216" s="22" t="s">
        <v>946</v>
      </c>
      <c r="D216" s="22" t="s">
        <v>66</v>
      </c>
      <c r="E216" s="22">
        <v>4</v>
      </c>
      <c r="F216" s="24">
        <v>305.72000000000003</v>
      </c>
      <c r="G216" s="22" t="s">
        <v>594</v>
      </c>
      <c r="H216" s="22" t="s">
        <v>79</v>
      </c>
      <c r="I216" s="22" t="s">
        <v>69</v>
      </c>
      <c r="J216" s="22" t="s">
        <v>947</v>
      </c>
      <c r="K216" s="22">
        <v>5</v>
      </c>
      <c r="L216" s="22"/>
      <c r="M216" s="22" t="s">
        <v>87</v>
      </c>
      <c r="N216" s="24">
        <v>1222.8800000000001</v>
      </c>
      <c r="O216" s="22">
        <f>YEAR(B216)</f>
        <v>2024</v>
      </c>
      <c r="P216" s="25">
        <f>DATE(YEAR(B216),MONTH(B216),1)</f>
        <v>45505</v>
      </c>
      <c r="Q216" s="22" t="str">
        <f>IF(N216&gt;Summary!$C$17,"Outlier","")</f>
        <v/>
      </c>
      <c r="R216" s="22" t="str">
        <f>IF(L216="","None",L216)</f>
        <v>None</v>
      </c>
    </row>
    <row r="217" spans="1:18" x14ac:dyDescent="0.2">
      <c r="A217" s="22" t="s">
        <v>948</v>
      </c>
      <c r="B217" s="23">
        <v>45148</v>
      </c>
      <c r="C217" s="22" t="s">
        <v>949</v>
      </c>
      <c r="D217" s="22" t="s">
        <v>62</v>
      </c>
      <c r="E217" s="22">
        <v>1</v>
      </c>
      <c r="F217" s="24">
        <v>303.60000000000002</v>
      </c>
      <c r="G217" s="22" t="s">
        <v>950</v>
      </c>
      <c r="H217" s="22" t="s">
        <v>75</v>
      </c>
      <c r="I217" s="22" t="s">
        <v>70</v>
      </c>
      <c r="J217" s="22" t="s">
        <v>951</v>
      </c>
      <c r="K217" s="22">
        <v>5</v>
      </c>
      <c r="L217" s="22" t="s">
        <v>82</v>
      </c>
      <c r="M217" s="22" t="s">
        <v>87</v>
      </c>
      <c r="N217" s="24">
        <v>303.60000000000002</v>
      </c>
      <c r="O217" s="22">
        <f>YEAR(B217)</f>
        <v>2023</v>
      </c>
      <c r="P217" s="25">
        <f>DATE(YEAR(B217),MONTH(B217),1)</f>
        <v>45139</v>
      </c>
      <c r="Q217" s="22" t="str">
        <f>IF(N217&gt;Summary!$C$17,"Outlier","")</f>
        <v/>
      </c>
      <c r="R217" s="22" t="str">
        <f>IF(L217="","None",L217)</f>
        <v>FREESHIP</v>
      </c>
    </row>
    <row r="218" spans="1:18" x14ac:dyDescent="0.2">
      <c r="A218" s="22" t="s">
        <v>952</v>
      </c>
      <c r="B218" s="23">
        <v>45762</v>
      </c>
      <c r="C218" s="22" t="s">
        <v>953</v>
      </c>
      <c r="D218" s="22" t="s">
        <v>65</v>
      </c>
      <c r="E218" s="22">
        <v>4</v>
      </c>
      <c r="F218" s="24">
        <v>496</v>
      </c>
      <c r="G218" s="22" t="s">
        <v>351</v>
      </c>
      <c r="H218" s="22" t="s">
        <v>79</v>
      </c>
      <c r="I218" s="22" t="s">
        <v>73</v>
      </c>
      <c r="J218" s="22" t="s">
        <v>954</v>
      </c>
      <c r="K218" s="22">
        <v>8</v>
      </c>
      <c r="L218" s="22" t="s">
        <v>84</v>
      </c>
      <c r="M218" s="22" t="s">
        <v>88</v>
      </c>
      <c r="N218" s="24">
        <v>1984</v>
      </c>
      <c r="O218" s="22">
        <f>YEAR(B218)</f>
        <v>2025</v>
      </c>
      <c r="P218" s="25">
        <f>DATE(YEAR(B218),MONTH(B218),1)</f>
        <v>45748</v>
      </c>
      <c r="Q218" s="22" t="str">
        <f>IF(N218&gt;Summary!$C$17,"Outlier","")</f>
        <v/>
      </c>
      <c r="R218" s="22" t="str">
        <f>IF(L218="","None",L218)</f>
        <v>WINTER15</v>
      </c>
    </row>
    <row r="219" spans="1:18" x14ac:dyDescent="0.2">
      <c r="A219" s="22" t="s">
        <v>955</v>
      </c>
      <c r="B219" s="23">
        <v>45432</v>
      </c>
      <c r="C219" s="22" t="s">
        <v>956</v>
      </c>
      <c r="D219" s="22" t="s">
        <v>66</v>
      </c>
      <c r="E219" s="22">
        <v>4</v>
      </c>
      <c r="F219" s="24">
        <v>321.51</v>
      </c>
      <c r="G219" s="22" t="s">
        <v>957</v>
      </c>
      <c r="H219" s="22" t="s">
        <v>75</v>
      </c>
      <c r="I219" s="22" t="s">
        <v>72</v>
      </c>
      <c r="J219" s="22" t="s">
        <v>958</v>
      </c>
      <c r="K219" s="22">
        <v>9</v>
      </c>
      <c r="L219" s="22"/>
      <c r="M219" s="22" t="s">
        <v>88</v>
      </c>
      <c r="N219" s="24">
        <v>1286.04</v>
      </c>
      <c r="O219" s="22">
        <f>YEAR(B219)</f>
        <v>2024</v>
      </c>
      <c r="P219" s="25">
        <f>DATE(YEAR(B219),MONTH(B219),1)</f>
        <v>45413</v>
      </c>
      <c r="Q219" s="22" t="str">
        <f>IF(N219&gt;Summary!$C$17,"Outlier","")</f>
        <v/>
      </c>
      <c r="R219" s="22" t="str">
        <f>IF(L219="","None",L219)</f>
        <v>None</v>
      </c>
    </row>
    <row r="220" spans="1:18" x14ac:dyDescent="0.2">
      <c r="A220" s="22" t="s">
        <v>959</v>
      </c>
      <c r="B220" s="23">
        <v>45044</v>
      </c>
      <c r="C220" s="22" t="s">
        <v>960</v>
      </c>
      <c r="D220" s="22" t="s">
        <v>64</v>
      </c>
      <c r="E220" s="22">
        <v>3</v>
      </c>
      <c r="F220" s="24">
        <v>112.46</v>
      </c>
      <c r="G220" s="22" t="s">
        <v>961</v>
      </c>
      <c r="H220" s="22" t="s">
        <v>78</v>
      </c>
      <c r="I220" s="22" t="s">
        <v>70</v>
      </c>
      <c r="J220" s="22" t="s">
        <v>962</v>
      </c>
      <c r="K220" s="22">
        <v>6</v>
      </c>
      <c r="L220" s="22" t="s">
        <v>83</v>
      </c>
      <c r="M220" s="22" t="s">
        <v>89</v>
      </c>
      <c r="N220" s="24">
        <v>337.38</v>
      </c>
      <c r="O220" s="22">
        <f>YEAR(B220)</f>
        <v>2023</v>
      </c>
      <c r="P220" s="25">
        <f>DATE(YEAR(B220),MONTH(B220),1)</f>
        <v>45017</v>
      </c>
      <c r="Q220" s="22" t="str">
        <f>IF(N220&gt;Summary!$C$17,"Outlier","")</f>
        <v/>
      </c>
      <c r="R220" s="22" t="str">
        <f>IF(L220="","None",L220)</f>
        <v>SAVE10</v>
      </c>
    </row>
    <row r="221" spans="1:18" x14ac:dyDescent="0.2">
      <c r="A221" s="22" t="s">
        <v>963</v>
      </c>
      <c r="B221" s="23">
        <v>45779</v>
      </c>
      <c r="C221" s="22" t="s">
        <v>964</v>
      </c>
      <c r="D221" s="22" t="s">
        <v>63</v>
      </c>
      <c r="E221" s="22">
        <v>5</v>
      </c>
      <c r="F221" s="24">
        <v>61.97</v>
      </c>
      <c r="G221" s="22" t="s">
        <v>965</v>
      </c>
      <c r="H221" s="22" t="s">
        <v>75</v>
      </c>
      <c r="I221" s="22" t="s">
        <v>69</v>
      </c>
      <c r="J221" s="22" t="s">
        <v>966</v>
      </c>
      <c r="K221" s="22">
        <v>6</v>
      </c>
      <c r="L221" s="22" t="s">
        <v>83</v>
      </c>
      <c r="M221" s="22" t="s">
        <v>86</v>
      </c>
      <c r="N221" s="24">
        <v>309.85000000000002</v>
      </c>
      <c r="O221" s="22">
        <f>YEAR(B221)</f>
        <v>2025</v>
      </c>
      <c r="P221" s="25">
        <f>DATE(YEAR(B221),MONTH(B221),1)</f>
        <v>45778</v>
      </c>
      <c r="Q221" s="22" t="str">
        <f>IF(N221&gt;Summary!$C$17,"Outlier","")</f>
        <v/>
      </c>
      <c r="R221" s="22" t="str">
        <f>IF(L221="","None",L221)</f>
        <v>SAVE10</v>
      </c>
    </row>
    <row r="222" spans="1:18" x14ac:dyDescent="0.2">
      <c r="A222" s="22" t="s">
        <v>967</v>
      </c>
      <c r="B222" s="23">
        <v>45125</v>
      </c>
      <c r="C222" s="22" t="s">
        <v>968</v>
      </c>
      <c r="D222" s="22" t="s">
        <v>63</v>
      </c>
      <c r="E222" s="22">
        <v>2</v>
      </c>
      <c r="F222" s="24">
        <v>373.17</v>
      </c>
      <c r="G222" s="22" t="s">
        <v>969</v>
      </c>
      <c r="H222" s="22" t="s">
        <v>76</v>
      </c>
      <c r="I222" s="22" t="s">
        <v>71</v>
      </c>
      <c r="J222" s="22" t="s">
        <v>970</v>
      </c>
      <c r="K222" s="22">
        <v>6</v>
      </c>
      <c r="L222" s="22" t="s">
        <v>83</v>
      </c>
      <c r="M222" s="22" t="s">
        <v>90</v>
      </c>
      <c r="N222" s="24">
        <v>746.34</v>
      </c>
      <c r="O222" s="22">
        <f>YEAR(B222)</f>
        <v>2023</v>
      </c>
      <c r="P222" s="25">
        <f>DATE(YEAR(B222),MONTH(B222),1)</f>
        <v>45108</v>
      </c>
      <c r="Q222" s="22" t="str">
        <f>IF(N222&gt;Summary!$C$17,"Outlier","")</f>
        <v/>
      </c>
      <c r="R222" s="22" t="str">
        <f>IF(L222="","None",L222)</f>
        <v>SAVE10</v>
      </c>
    </row>
    <row r="223" spans="1:18" x14ac:dyDescent="0.2">
      <c r="A223" s="22" t="s">
        <v>971</v>
      </c>
      <c r="B223" s="23">
        <v>45345</v>
      </c>
      <c r="C223" s="22" t="s">
        <v>972</v>
      </c>
      <c r="D223" s="22" t="s">
        <v>64</v>
      </c>
      <c r="E223" s="22">
        <v>5</v>
      </c>
      <c r="F223" s="24">
        <v>639.37</v>
      </c>
      <c r="G223" s="22" t="s">
        <v>390</v>
      </c>
      <c r="H223" s="22" t="s">
        <v>77</v>
      </c>
      <c r="I223" s="22" t="s">
        <v>71</v>
      </c>
      <c r="J223" s="22" t="s">
        <v>973</v>
      </c>
      <c r="K223" s="22">
        <v>6</v>
      </c>
      <c r="L223" s="22" t="s">
        <v>83</v>
      </c>
      <c r="M223" s="22" t="s">
        <v>88</v>
      </c>
      <c r="N223" s="24">
        <v>3196.85</v>
      </c>
      <c r="O223" s="22">
        <f>YEAR(B223)</f>
        <v>2024</v>
      </c>
      <c r="P223" s="25">
        <f>DATE(YEAR(B223),MONTH(B223),1)</f>
        <v>45323</v>
      </c>
      <c r="Q223" s="22" t="str">
        <f>IF(N223&gt;Summary!$C$17,"Outlier","")</f>
        <v/>
      </c>
      <c r="R223" s="22" t="str">
        <f>IF(L223="","None",L223)</f>
        <v>SAVE10</v>
      </c>
    </row>
    <row r="224" spans="1:18" x14ac:dyDescent="0.2">
      <c r="A224" s="22" t="s">
        <v>974</v>
      </c>
      <c r="B224" s="23">
        <v>45050</v>
      </c>
      <c r="C224" s="22" t="s">
        <v>975</v>
      </c>
      <c r="D224" s="22" t="s">
        <v>61</v>
      </c>
      <c r="E224" s="22">
        <v>4</v>
      </c>
      <c r="F224" s="24">
        <v>693.36</v>
      </c>
      <c r="G224" s="22" t="s">
        <v>976</v>
      </c>
      <c r="H224" s="22" t="s">
        <v>79</v>
      </c>
      <c r="I224" s="22" t="s">
        <v>70</v>
      </c>
      <c r="J224" s="22" t="s">
        <v>977</v>
      </c>
      <c r="K224" s="22">
        <v>8</v>
      </c>
      <c r="L224" s="22"/>
      <c r="M224" s="22" t="s">
        <v>89</v>
      </c>
      <c r="N224" s="24">
        <v>2773.44</v>
      </c>
      <c r="O224" s="22">
        <f>YEAR(B224)</f>
        <v>2023</v>
      </c>
      <c r="P224" s="25">
        <f>DATE(YEAR(B224),MONTH(B224),1)</f>
        <v>45047</v>
      </c>
      <c r="Q224" s="22" t="str">
        <f>IF(N224&gt;Summary!$C$17,"Outlier","")</f>
        <v/>
      </c>
      <c r="R224" s="22" t="str">
        <f>IF(L224="","None",L224)</f>
        <v>None</v>
      </c>
    </row>
    <row r="225" spans="1:18" x14ac:dyDescent="0.2">
      <c r="A225" s="22" t="s">
        <v>978</v>
      </c>
      <c r="B225" s="23">
        <v>45546</v>
      </c>
      <c r="C225" s="22" t="s">
        <v>979</v>
      </c>
      <c r="D225" s="22" t="s">
        <v>67</v>
      </c>
      <c r="E225" s="22">
        <v>4</v>
      </c>
      <c r="F225" s="24">
        <v>692.91</v>
      </c>
      <c r="G225" s="22" t="s">
        <v>594</v>
      </c>
      <c r="H225" s="22" t="s">
        <v>76</v>
      </c>
      <c r="I225" s="22" t="s">
        <v>71</v>
      </c>
      <c r="J225" s="22" t="s">
        <v>980</v>
      </c>
      <c r="K225" s="22">
        <v>9</v>
      </c>
      <c r="L225" s="22" t="s">
        <v>83</v>
      </c>
      <c r="M225" s="22" t="s">
        <v>89</v>
      </c>
      <c r="N225" s="24">
        <v>2771.64</v>
      </c>
      <c r="O225" s="22">
        <f>YEAR(B225)</f>
        <v>2024</v>
      </c>
      <c r="P225" s="25">
        <f>DATE(YEAR(B225),MONTH(B225),1)</f>
        <v>45536</v>
      </c>
      <c r="Q225" s="22" t="str">
        <f>IF(N225&gt;Summary!$C$17,"Outlier","")</f>
        <v/>
      </c>
      <c r="R225" s="22" t="str">
        <f>IF(L225="","None",L225)</f>
        <v>SAVE10</v>
      </c>
    </row>
    <row r="226" spans="1:18" x14ac:dyDescent="0.2">
      <c r="A226" s="22" t="s">
        <v>981</v>
      </c>
      <c r="B226" s="23">
        <v>45192</v>
      </c>
      <c r="C226" s="22" t="s">
        <v>982</v>
      </c>
      <c r="D226" s="22" t="s">
        <v>62</v>
      </c>
      <c r="E226" s="22">
        <v>4</v>
      </c>
      <c r="F226" s="24">
        <v>91.46</v>
      </c>
      <c r="G226" s="22" t="s">
        <v>983</v>
      </c>
      <c r="H226" s="22" t="s">
        <v>75</v>
      </c>
      <c r="I226" s="22" t="s">
        <v>73</v>
      </c>
      <c r="J226" s="22" t="s">
        <v>984</v>
      </c>
      <c r="K226" s="22">
        <v>9</v>
      </c>
      <c r="L226" s="22" t="s">
        <v>83</v>
      </c>
      <c r="M226" s="22" t="s">
        <v>90</v>
      </c>
      <c r="N226" s="24">
        <v>365.84</v>
      </c>
      <c r="O226" s="22">
        <f>YEAR(B226)</f>
        <v>2023</v>
      </c>
      <c r="P226" s="25">
        <f>DATE(YEAR(B226),MONTH(B226),1)</f>
        <v>45170</v>
      </c>
      <c r="Q226" s="22" t="str">
        <f>IF(N226&gt;Summary!$C$17,"Outlier","")</f>
        <v/>
      </c>
      <c r="R226" s="22" t="str">
        <f>IF(L226="","None",L226)</f>
        <v>SAVE10</v>
      </c>
    </row>
    <row r="227" spans="1:18" x14ac:dyDescent="0.2">
      <c r="A227" s="22" t="s">
        <v>985</v>
      </c>
      <c r="B227" s="23">
        <v>45364</v>
      </c>
      <c r="C227" s="22" t="s">
        <v>986</v>
      </c>
      <c r="D227" s="22" t="s">
        <v>67</v>
      </c>
      <c r="E227" s="22">
        <v>3</v>
      </c>
      <c r="F227" s="24">
        <v>273.95999999999998</v>
      </c>
      <c r="G227" s="22" t="s">
        <v>987</v>
      </c>
      <c r="H227" s="22" t="s">
        <v>77</v>
      </c>
      <c r="I227" s="22" t="s">
        <v>72</v>
      </c>
      <c r="J227" s="22" t="s">
        <v>988</v>
      </c>
      <c r="K227" s="22">
        <v>8</v>
      </c>
      <c r="L227" s="22" t="s">
        <v>83</v>
      </c>
      <c r="M227" s="22" t="s">
        <v>88</v>
      </c>
      <c r="N227" s="24">
        <v>821.88</v>
      </c>
      <c r="O227" s="22">
        <f>YEAR(B227)</f>
        <v>2024</v>
      </c>
      <c r="P227" s="25">
        <f>DATE(YEAR(B227),MONTH(B227),1)</f>
        <v>45352</v>
      </c>
      <c r="Q227" s="22" t="str">
        <f>IF(N227&gt;Summary!$C$17,"Outlier","")</f>
        <v/>
      </c>
      <c r="R227" s="22" t="str">
        <f>IF(L227="","None",L227)</f>
        <v>SAVE10</v>
      </c>
    </row>
    <row r="228" spans="1:18" x14ac:dyDescent="0.2">
      <c r="A228" s="22" t="s">
        <v>989</v>
      </c>
      <c r="B228" s="23">
        <v>45835</v>
      </c>
      <c r="C228" s="22" t="s">
        <v>990</v>
      </c>
      <c r="D228" s="22" t="s">
        <v>66</v>
      </c>
      <c r="E228" s="22">
        <v>3</v>
      </c>
      <c r="F228" s="24">
        <v>588.04999999999995</v>
      </c>
      <c r="G228" s="22" t="s">
        <v>991</v>
      </c>
      <c r="H228" s="22" t="s">
        <v>78</v>
      </c>
      <c r="I228" s="22" t="s">
        <v>69</v>
      </c>
      <c r="J228" s="22" t="s">
        <v>992</v>
      </c>
      <c r="K228" s="22">
        <v>8</v>
      </c>
      <c r="L228" s="22"/>
      <c r="M228" s="22" t="s">
        <v>89</v>
      </c>
      <c r="N228" s="24">
        <v>1764.15</v>
      </c>
      <c r="O228" s="22">
        <f>YEAR(B228)</f>
        <v>2025</v>
      </c>
      <c r="P228" s="25">
        <f>DATE(YEAR(B228),MONTH(B228),1)</f>
        <v>45809</v>
      </c>
      <c r="Q228" s="22" t="str">
        <f>IF(N228&gt;Summary!$C$17,"Outlier","")</f>
        <v/>
      </c>
      <c r="R228" s="22" t="str">
        <f>IF(L228="","None",L228)</f>
        <v>None</v>
      </c>
    </row>
    <row r="229" spans="1:18" x14ac:dyDescent="0.2">
      <c r="A229" s="22" t="s">
        <v>993</v>
      </c>
      <c r="B229" s="23">
        <v>45232</v>
      </c>
      <c r="C229" s="22" t="s">
        <v>994</v>
      </c>
      <c r="D229" s="22" t="s">
        <v>65</v>
      </c>
      <c r="E229" s="22">
        <v>2</v>
      </c>
      <c r="F229" s="24">
        <v>365.17</v>
      </c>
      <c r="G229" s="22" t="s">
        <v>614</v>
      </c>
      <c r="H229" s="22" t="s">
        <v>79</v>
      </c>
      <c r="I229" s="22" t="s">
        <v>73</v>
      </c>
      <c r="J229" s="22" t="s">
        <v>995</v>
      </c>
      <c r="K229" s="22">
        <v>4</v>
      </c>
      <c r="L229" s="22" t="s">
        <v>82</v>
      </c>
      <c r="M229" s="22" t="s">
        <v>87</v>
      </c>
      <c r="N229" s="24">
        <v>730.34</v>
      </c>
      <c r="O229" s="22">
        <f>YEAR(B229)</f>
        <v>2023</v>
      </c>
      <c r="P229" s="25">
        <f>DATE(YEAR(B229),MONTH(B229),1)</f>
        <v>45231</v>
      </c>
      <c r="Q229" s="22" t="str">
        <f>IF(N229&gt;Summary!$C$17,"Outlier","")</f>
        <v/>
      </c>
      <c r="R229" s="22" t="str">
        <f>IF(L229="","None",L229)</f>
        <v>FREESHIP</v>
      </c>
    </row>
    <row r="230" spans="1:18" x14ac:dyDescent="0.2">
      <c r="A230" s="22" t="s">
        <v>996</v>
      </c>
      <c r="B230" s="23">
        <v>45063</v>
      </c>
      <c r="C230" s="22" t="s">
        <v>997</v>
      </c>
      <c r="D230" s="22" t="s">
        <v>61</v>
      </c>
      <c r="E230" s="22">
        <v>4</v>
      </c>
      <c r="F230" s="24">
        <v>385.92</v>
      </c>
      <c r="G230" s="22" t="s">
        <v>998</v>
      </c>
      <c r="H230" s="22" t="s">
        <v>76</v>
      </c>
      <c r="I230" s="22" t="s">
        <v>73</v>
      </c>
      <c r="J230" s="22" t="s">
        <v>999</v>
      </c>
      <c r="K230" s="22">
        <v>8</v>
      </c>
      <c r="L230" s="22"/>
      <c r="M230" s="22" t="s">
        <v>89</v>
      </c>
      <c r="N230" s="24">
        <v>1543.68</v>
      </c>
      <c r="O230" s="22">
        <f>YEAR(B230)</f>
        <v>2023</v>
      </c>
      <c r="P230" s="25">
        <f>DATE(YEAR(B230),MONTH(B230),1)</f>
        <v>45047</v>
      </c>
      <c r="Q230" s="22" t="str">
        <f>IF(N230&gt;Summary!$C$17,"Outlier","")</f>
        <v/>
      </c>
      <c r="R230" s="22" t="str">
        <f>IF(L230="","None",L230)</f>
        <v>None</v>
      </c>
    </row>
    <row r="231" spans="1:18" x14ac:dyDescent="0.2">
      <c r="A231" s="22" t="s">
        <v>1000</v>
      </c>
      <c r="B231" s="23">
        <v>45744</v>
      </c>
      <c r="C231" s="22" t="s">
        <v>1001</v>
      </c>
      <c r="D231" s="22" t="s">
        <v>64</v>
      </c>
      <c r="E231" s="22">
        <v>1</v>
      </c>
      <c r="F231" s="24">
        <v>562.61</v>
      </c>
      <c r="G231" s="22" t="s">
        <v>1002</v>
      </c>
      <c r="H231" s="22" t="s">
        <v>76</v>
      </c>
      <c r="I231" s="22" t="s">
        <v>69</v>
      </c>
      <c r="J231" s="22" t="s">
        <v>1003</v>
      </c>
      <c r="K231" s="22">
        <v>3</v>
      </c>
      <c r="L231" s="22" t="s">
        <v>84</v>
      </c>
      <c r="M231" s="22" t="s">
        <v>87</v>
      </c>
      <c r="N231" s="24">
        <v>562.61</v>
      </c>
      <c r="O231" s="22">
        <f>YEAR(B231)</f>
        <v>2025</v>
      </c>
      <c r="P231" s="25">
        <f>DATE(YEAR(B231),MONTH(B231),1)</f>
        <v>45717</v>
      </c>
      <c r="Q231" s="22" t="str">
        <f>IF(N231&gt;Summary!$C$17,"Outlier","")</f>
        <v/>
      </c>
      <c r="R231" s="22" t="str">
        <f>IF(L231="","None",L231)</f>
        <v>WINTER15</v>
      </c>
    </row>
    <row r="232" spans="1:18" x14ac:dyDescent="0.2">
      <c r="A232" s="22" t="s">
        <v>1004</v>
      </c>
      <c r="B232" s="23">
        <v>45276</v>
      </c>
      <c r="C232" s="22" t="s">
        <v>1005</v>
      </c>
      <c r="D232" s="22" t="s">
        <v>66</v>
      </c>
      <c r="E232" s="22">
        <v>4</v>
      </c>
      <c r="F232" s="24">
        <v>61.91</v>
      </c>
      <c r="G232" s="22" t="s">
        <v>1006</v>
      </c>
      <c r="H232" s="22" t="s">
        <v>78</v>
      </c>
      <c r="I232" s="22" t="s">
        <v>69</v>
      </c>
      <c r="J232" s="22" t="s">
        <v>1007</v>
      </c>
      <c r="K232" s="22">
        <v>6</v>
      </c>
      <c r="L232" s="22" t="s">
        <v>84</v>
      </c>
      <c r="M232" s="22" t="s">
        <v>86</v>
      </c>
      <c r="N232" s="24">
        <v>247.64</v>
      </c>
      <c r="O232" s="22">
        <f>YEAR(B232)</f>
        <v>2023</v>
      </c>
      <c r="P232" s="25">
        <f>DATE(YEAR(B232),MONTH(B232),1)</f>
        <v>45261</v>
      </c>
      <c r="Q232" s="22" t="str">
        <f>IF(N232&gt;Summary!$C$17,"Outlier","")</f>
        <v/>
      </c>
      <c r="R232" s="22" t="str">
        <f>IF(L232="","None",L232)</f>
        <v>WINTER15</v>
      </c>
    </row>
    <row r="233" spans="1:18" x14ac:dyDescent="0.2">
      <c r="A233" s="22" t="s">
        <v>1008</v>
      </c>
      <c r="B233" s="23">
        <v>45235</v>
      </c>
      <c r="C233" s="22" t="s">
        <v>1009</v>
      </c>
      <c r="D233" s="22" t="s">
        <v>67</v>
      </c>
      <c r="E233" s="22">
        <v>4</v>
      </c>
      <c r="F233" s="24">
        <v>41.9</v>
      </c>
      <c r="G233" s="22" t="s">
        <v>1010</v>
      </c>
      <c r="H233" s="22" t="s">
        <v>78</v>
      </c>
      <c r="I233" s="22" t="s">
        <v>71</v>
      </c>
      <c r="J233" s="22" t="s">
        <v>1011</v>
      </c>
      <c r="K233" s="22">
        <v>9</v>
      </c>
      <c r="L233" s="22" t="s">
        <v>82</v>
      </c>
      <c r="M233" s="22" t="s">
        <v>89</v>
      </c>
      <c r="N233" s="24">
        <v>167.6</v>
      </c>
      <c r="O233" s="22">
        <f>YEAR(B233)</f>
        <v>2023</v>
      </c>
      <c r="P233" s="25">
        <f>DATE(YEAR(B233),MONTH(B233),1)</f>
        <v>45231</v>
      </c>
      <c r="Q233" s="22" t="str">
        <f>IF(N233&gt;Summary!$C$17,"Outlier","")</f>
        <v/>
      </c>
      <c r="R233" s="22" t="str">
        <f>IF(L233="","None",L233)</f>
        <v>FREESHIP</v>
      </c>
    </row>
    <row r="234" spans="1:18" x14ac:dyDescent="0.2">
      <c r="A234" s="22" t="s">
        <v>1012</v>
      </c>
      <c r="B234" s="23">
        <v>45065</v>
      </c>
      <c r="C234" s="22" t="s">
        <v>1013</v>
      </c>
      <c r="D234" s="22" t="s">
        <v>62</v>
      </c>
      <c r="E234" s="22">
        <v>4</v>
      </c>
      <c r="F234" s="24">
        <v>444.44</v>
      </c>
      <c r="G234" s="22" t="s">
        <v>1014</v>
      </c>
      <c r="H234" s="22" t="s">
        <v>77</v>
      </c>
      <c r="I234" s="22" t="s">
        <v>73</v>
      </c>
      <c r="J234" s="22" t="s">
        <v>1015</v>
      </c>
      <c r="K234" s="22">
        <v>8</v>
      </c>
      <c r="L234" s="22" t="s">
        <v>84</v>
      </c>
      <c r="M234" s="22" t="s">
        <v>88</v>
      </c>
      <c r="N234" s="24">
        <v>1777.76</v>
      </c>
      <c r="O234" s="22">
        <f>YEAR(B234)</f>
        <v>2023</v>
      </c>
      <c r="P234" s="25">
        <f>DATE(YEAR(B234),MONTH(B234),1)</f>
        <v>45047</v>
      </c>
      <c r="Q234" s="22" t="str">
        <f>IF(N234&gt;Summary!$C$17,"Outlier","")</f>
        <v/>
      </c>
      <c r="R234" s="22" t="str">
        <f>IF(L234="","None",L234)</f>
        <v>WINTER15</v>
      </c>
    </row>
    <row r="235" spans="1:18" x14ac:dyDescent="0.2">
      <c r="A235" s="22" t="s">
        <v>1016</v>
      </c>
      <c r="B235" s="23">
        <v>45528</v>
      </c>
      <c r="C235" s="22" t="s">
        <v>1017</v>
      </c>
      <c r="D235" s="22" t="s">
        <v>67</v>
      </c>
      <c r="E235" s="22">
        <v>3</v>
      </c>
      <c r="F235" s="24">
        <v>311.33</v>
      </c>
      <c r="G235" s="22" t="s">
        <v>425</v>
      </c>
      <c r="H235" s="22" t="s">
        <v>75</v>
      </c>
      <c r="I235" s="22" t="s">
        <v>73</v>
      </c>
      <c r="J235" s="22" t="s">
        <v>1018</v>
      </c>
      <c r="K235" s="22">
        <v>3</v>
      </c>
      <c r="L235" s="22" t="s">
        <v>84</v>
      </c>
      <c r="M235" s="22" t="s">
        <v>89</v>
      </c>
      <c r="N235" s="24">
        <v>933.99</v>
      </c>
      <c r="O235" s="22">
        <f>YEAR(B235)</f>
        <v>2024</v>
      </c>
      <c r="P235" s="25">
        <f>DATE(YEAR(B235),MONTH(B235),1)</f>
        <v>45505</v>
      </c>
      <c r="Q235" s="22" t="str">
        <f>IF(N235&gt;Summary!$C$17,"Outlier","")</f>
        <v/>
      </c>
      <c r="R235" s="22" t="str">
        <f>IF(L235="","None",L235)</f>
        <v>WINTER15</v>
      </c>
    </row>
    <row r="236" spans="1:18" x14ac:dyDescent="0.2">
      <c r="A236" s="22" t="s">
        <v>1019</v>
      </c>
      <c r="B236" s="23">
        <v>45622</v>
      </c>
      <c r="C236" s="22" t="s">
        <v>1020</v>
      </c>
      <c r="D236" s="22" t="s">
        <v>62</v>
      </c>
      <c r="E236" s="22">
        <v>4</v>
      </c>
      <c r="F236" s="24">
        <v>236.41</v>
      </c>
      <c r="G236" s="22" t="s">
        <v>1021</v>
      </c>
      <c r="H236" s="22" t="s">
        <v>77</v>
      </c>
      <c r="I236" s="22" t="s">
        <v>71</v>
      </c>
      <c r="J236" s="22" t="s">
        <v>1022</v>
      </c>
      <c r="K236" s="22">
        <v>7</v>
      </c>
      <c r="L236" s="22" t="s">
        <v>83</v>
      </c>
      <c r="M236" s="22" t="s">
        <v>88</v>
      </c>
      <c r="N236" s="24">
        <v>945.64</v>
      </c>
      <c r="O236" s="22">
        <f>YEAR(B236)</f>
        <v>2024</v>
      </c>
      <c r="P236" s="25">
        <f>DATE(YEAR(B236),MONTH(B236),1)</f>
        <v>45597</v>
      </c>
      <c r="Q236" s="22" t="str">
        <f>IF(N236&gt;Summary!$C$17,"Outlier","")</f>
        <v/>
      </c>
      <c r="R236" s="22" t="str">
        <f>IF(L236="","None",L236)</f>
        <v>SAVE10</v>
      </c>
    </row>
    <row r="237" spans="1:18" x14ac:dyDescent="0.2">
      <c r="A237" s="22" t="s">
        <v>1023</v>
      </c>
      <c r="B237" s="23">
        <v>44977</v>
      </c>
      <c r="C237" s="22" t="s">
        <v>1024</v>
      </c>
      <c r="D237" s="22" t="s">
        <v>66</v>
      </c>
      <c r="E237" s="22">
        <v>1</v>
      </c>
      <c r="F237" s="24">
        <v>65.45</v>
      </c>
      <c r="G237" s="22" t="s">
        <v>1025</v>
      </c>
      <c r="H237" s="22" t="s">
        <v>75</v>
      </c>
      <c r="I237" s="22" t="s">
        <v>71</v>
      </c>
      <c r="J237" s="22" t="s">
        <v>1026</v>
      </c>
      <c r="K237" s="22">
        <v>2</v>
      </c>
      <c r="L237" s="22" t="s">
        <v>84</v>
      </c>
      <c r="M237" s="22" t="s">
        <v>88</v>
      </c>
      <c r="N237" s="24">
        <v>65.45</v>
      </c>
      <c r="O237" s="22">
        <f>YEAR(B237)</f>
        <v>2023</v>
      </c>
      <c r="P237" s="25">
        <f>DATE(YEAR(B237),MONTH(B237),1)</f>
        <v>44958</v>
      </c>
      <c r="Q237" s="22" t="str">
        <f>IF(N237&gt;Summary!$C$17,"Outlier","")</f>
        <v/>
      </c>
      <c r="R237" s="22" t="str">
        <f>IF(L237="","None",L237)</f>
        <v>WINTER15</v>
      </c>
    </row>
    <row r="238" spans="1:18" x14ac:dyDescent="0.2">
      <c r="A238" s="22" t="s">
        <v>1027</v>
      </c>
      <c r="B238" s="23">
        <v>44927</v>
      </c>
      <c r="C238" s="22" t="s">
        <v>1028</v>
      </c>
      <c r="D238" s="22" t="s">
        <v>65</v>
      </c>
      <c r="E238" s="22">
        <v>1</v>
      </c>
      <c r="F238" s="24">
        <v>318.81</v>
      </c>
      <c r="G238" s="22" t="s">
        <v>1029</v>
      </c>
      <c r="H238" s="22" t="s">
        <v>77</v>
      </c>
      <c r="I238" s="22" t="s">
        <v>71</v>
      </c>
      <c r="J238" s="22" t="s">
        <v>1030</v>
      </c>
      <c r="K238" s="22">
        <v>3</v>
      </c>
      <c r="L238" s="22" t="s">
        <v>84</v>
      </c>
      <c r="M238" s="22" t="s">
        <v>86</v>
      </c>
      <c r="N238" s="24">
        <v>318.81</v>
      </c>
      <c r="O238" s="22">
        <f>YEAR(B238)</f>
        <v>2023</v>
      </c>
      <c r="P238" s="25">
        <f>DATE(YEAR(B238),MONTH(B238),1)</f>
        <v>44927</v>
      </c>
      <c r="Q238" s="22" t="str">
        <f>IF(N238&gt;Summary!$C$17,"Outlier","")</f>
        <v/>
      </c>
      <c r="R238" s="22" t="str">
        <f>IF(L238="","None",L238)</f>
        <v>WINTER15</v>
      </c>
    </row>
    <row r="239" spans="1:18" x14ac:dyDescent="0.2">
      <c r="A239" s="22" t="s">
        <v>1031</v>
      </c>
      <c r="B239" s="23">
        <v>45365</v>
      </c>
      <c r="C239" s="22" t="s">
        <v>1032</v>
      </c>
      <c r="D239" s="22" t="s">
        <v>65</v>
      </c>
      <c r="E239" s="22">
        <v>3</v>
      </c>
      <c r="F239" s="24">
        <v>583.72</v>
      </c>
      <c r="G239" s="22" t="s">
        <v>1033</v>
      </c>
      <c r="H239" s="22" t="s">
        <v>76</v>
      </c>
      <c r="I239" s="22" t="s">
        <v>70</v>
      </c>
      <c r="J239" s="22" t="s">
        <v>1034</v>
      </c>
      <c r="K239" s="22">
        <v>5</v>
      </c>
      <c r="L239" s="22" t="s">
        <v>82</v>
      </c>
      <c r="M239" s="22" t="s">
        <v>87</v>
      </c>
      <c r="N239" s="24">
        <v>1751.16</v>
      </c>
      <c r="O239" s="22">
        <f>YEAR(B239)</f>
        <v>2024</v>
      </c>
      <c r="P239" s="25">
        <f>DATE(YEAR(B239),MONTH(B239),1)</f>
        <v>45352</v>
      </c>
      <c r="Q239" s="22" t="str">
        <f>IF(N239&gt;Summary!$C$17,"Outlier","")</f>
        <v/>
      </c>
      <c r="R239" s="22" t="str">
        <f>IF(L239="","None",L239)</f>
        <v>FREESHIP</v>
      </c>
    </row>
    <row r="240" spans="1:18" x14ac:dyDescent="0.2">
      <c r="A240" s="22" t="s">
        <v>1035</v>
      </c>
      <c r="B240" s="23">
        <v>45639</v>
      </c>
      <c r="C240" s="22" t="s">
        <v>1036</v>
      </c>
      <c r="D240" s="22" t="s">
        <v>66</v>
      </c>
      <c r="E240" s="22">
        <v>4</v>
      </c>
      <c r="F240" s="24">
        <v>384.32</v>
      </c>
      <c r="G240" s="22" t="s">
        <v>1037</v>
      </c>
      <c r="H240" s="22" t="s">
        <v>76</v>
      </c>
      <c r="I240" s="22" t="s">
        <v>71</v>
      </c>
      <c r="J240" s="22" t="s">
        <v>1038</v>
      </c>
      <c r="K240" s="22">
        <v>6</v>
      </c>
      <c r="L240" s="22" t="s">
        <v>84</v>
      </c>
      <c r="M240" s="22" t="s">
        <v>88</v>
      </c>
      <c r="N240" s="24">
        <v>1537.28</v>
      </c>
      <c r="O240" s="22">
        <f>YEAR(B240)</f>
        <v>2024</v>
      </c>
      <c r="P240" s="25">
        <f>DATE(YEAR(B240),MONTH(B240),1)</f>
        <v>45627</v>
      </c>
      <c r="Q240" s="22" t="str">
        <f>IF(N240&gt;Summary!$C$17,"Outlier","")</f>
        <v/>
      </c>
      <c r="R240" s="22" t="str">
        <f>IF(L240="","None",L240)</f>
        <v>WINTER15</v>
      </c>
    </row>
    <row r="241" spans="1:18" x14ac:dyDescent="0.2">
      <c r="A241" s="22" t="s">
        <v>1039</v>
      </c>
      <c r="B241" s="23">
        <v>45637</v>
      </c>
      <c r="C241" s="22" t="s">
        <v>1040</v>
      </c>
      <c r="D241" s="22" t="s">
        <v>64</v>
      </c>
      <c r="E241" s="22">
        <v>3</v>
      </c>
      <c r="F241" s="24">
        <v>538.74</v>
      </c>
      <c r="G241" s="22" t="s">
        <v>1041</v>
      </c>
      <c r="H241" s="22" t="s">
        <v>79</v>
      </c>
      <c r="I241" s="22" t="s">
        <v>70</v>
      </c>
      <c r="J241" s="22" t="s">
        <v>1042</v>
      </c>
      <c r="K241" s="22">
        <v>6</v>
      </c>
      <c r="L241" s="22" t="s">
        <v>82</v>
      </c>
      <c r="M241" s="22" t="s">
        <v>86</v>
      </c>
      <c r="N241" s="24">
        <v>1616.22</v>
      </c>
      <c r="O241" s="22">
        <f>YEAR(B241)</f>
        <v>2024</v>
      </c>
      <c r="P241" s="25">
        <f>DATE(YEAR(B241),MONTH(B241),1)</f>
        <v>45627</v>
      </c>
      <c r="Q241" s="22" t="str">
        <f>IF(N241&gt;Summary!$C$17,"Outlier","")</f>
        <v/>
      </c>
      <c r="R241" s="22" t="str">
        <f>IF(L241="","None",L241)</f>
        <v>FREESHIP</v>
      </c>
    </row>
    <row r="242" spans="1:18" x14ac:dyDescent="0.2">
      <c r="A242" s="22" t="s">
        <v>1043</v>
      </c>
      <c r="B242" s="23">
        <v>45119</v>
      </c>
      <c r="C242" s="22" t="s">
        <v>1044</v>
      </c>
      <c r="D242" s="22" t="s">
        <v>64</v>
      </c>
      <c r="E242" s="22">
        <v>1</v>
      </c>
      <c r="F242" s="24">
        <v>17.239999999999998</v>
      </c>
      <c r="G242" s="22" t="s">
        <v>1045</v>
      </c>
      <c r="H242" s="22" t="s">
        <v>79</v>
      </c>
      <c r="I242" s="22" t="s">
        <v>71</v>
      </c>
      <c r="J242" s="22" t="s">
        <v>1046</v>
      </c>
      <c r="K242" s="22">
        <v>2</v>
      </c>
      <c r="L242" s="22" t="s">
        <v>82</v>
      </c>
      <c r="M242" s="22" t="s">
        <v>89</v>
      </c>
      <c r="N242" s="24">
        <v>17.239999999999998</v>
      </c>
      <c r="O242" s="22">
        <f>YEAR(B242)</f>
        <v>2023</v>
      </c>
      <c r="P242" s="25">
        <f>DATE(YEAR(B242),MONTH(B242),1)</f>
        <v>45108</v>
      </c>
      <c r="Q242" s="22" t="str">
        <f>IF(N242&gt;Summary!$C$17,"Outlier","")</f>
        <v/>
      </c>
      <c r="R242" s="22" t="str">
        <f>IF(L242="","None",L242)</f>
        <v>FREESHIP</v>
      </c>
    </row>
    <row r="243" spans="1:18" x14ac:dyDescent="0.2">
      <c r="A243" s="22" t="s">
        <v>1047</v>
      </c>
      <c r="B243" s="23">
        <v>45062</v>
      </c>
      <c r="C243" s="22" t="s">
        <v>1048</v>
      </c>
      <c r="D243" s="22" t="s">
        <v>61</v>
      </c>
      <c r="E243" s="22">
        <v>5</v>
      </c>
      <c r="F243" s="24">
        <v>615.66999999999996</v>
      </c>
      <c r="G243" s="22" t="s">
        <v>1049</v>
      </c>
      <c r="H243" s="22" t="s">
        <v>79</v>
      </c>
      <c r="I243" s="22" t="s">
        <v>71</v>
      </c>
      <c r="J243" s="22" t="s">
        <v>1050</v>
      </c>
      <c r="K243" s="22">
        <v>6</v>
      </c>
      <c r="L243" s="22" t="s">
        <v>83</v>
      </c>
      <c r="M243" s="22" t="s">
        <v>86</v>
      </c>
      <c r="N243" s="24">
        <v>3078.35</v>
      </c>
      <c r="O243" s="22">
        <f>YEAR(B243)</f>
        <v>2023</v>
      </c>
      <c r="P243" s="25">
        <f>DATE(YEAR(B243),MONTH(B243),1)</f>
        <v>45047</v>
      </c>
      <c r="Q243" s="22" t="str">
        <f>IF(N243&gt;Summary!$C$17,"Outlier","")</f>
        <v/>
      </c>
      <c r="R243" s="22" t="str">
        <f>IF(L243="","None",L243)</f>
        <v>SAVE10</v>
      </c>
    </row>
    <row r="244" spans="1:18" x14ac:dyDescent="0.2">
      <c r="A244" s="22" t="s">
        <v>1051</v>
      </c>
      <c r="B244" s="23">
        <v>45055</v>
      </c>
      <c r="C244" s="22" t="s">
        <v>1052</v>
      </c>
      <c r="D244" s="22" t="s">
        <v>62</v>
      </c>
      <c r="E244" s="22">
        <v>2</v>
      </c>
      <c r="F244" s="24">
        <v>219.1</v>
      </c>
      <c r="G244" s="22" t="s">
        <v>1053</v>
      </c>
      <c r="H244" s="22" t="s">
        <v>79</v>
      </c>
      <c r="I244" s="22" t="s">
        <v>71</v>
      </c>
      <c r="J244" s="22" t="s">
        <v>1054</v>
      </c>
      <c r="K244" s="22">
        <v>4</v>
      </c>
      <c r="L244" s="22" t="s">
        <v>83</v>
      </c>
      <c r="M244" s="22" t="s">
        <v>90</v>
      </c>
      <c r="N244" s="24">
        <v>438.2</v>
      </c>
      <c r="O244" s="22">
        <f>YEAR(B244)</f>
        <v>2023</v>
      </c>
      <c r="P244" s="25">
        <f>DATE(YEAR(B244),MONTH(B244),1)</f>
        <v>45047</v>
      </c>
      <c r="Q244" s="22" t="str">
        <f>IF(N244&gt;Summary!$C$17,"Outlier","")</f>
        <v/>
      </c>
      <c r="R244" s="22" t="str">
        <f>IF(L244="","None",L244)</f>
        <v>SAVE10</v>
      </c>
    </row>
    <row r="245" spans="1:18" x14ac:dyDescent="0.2">
      <c r="A245" s="22" t="s">
        <v>1055</v>
      </c>
      <c r="B245" s="23">
        <v>45786</v>
      </c>
      <c r="C245" s="22" t="s">
        <v>1056</v>
      </c>
      <c r="D245" s="22" t="s">
        <v>61</v>
      </c>
      <c r="E245" s="22">
        <v>2</v>
      </c>
      <c r="F245" s="24">
        <v>144.66</v>
      </c>
      <c r="G245" s="22" t="s">
        <v>1057</v>
      </c>
      <c r="H245" s="22" t="s">
        <v>79</v>
      </c>
      <c r="I245" s="22" t="s">
        <v>73</v>
      </c>
      <c r="J245" s="22" t="s">
        <v>1058</v>
      </c>
      <c r="K245" s="22">
        <v>7</v>
      </c>
      <c r="L245" s="22" t="s">
        <v>82</v>
      </c>
      <c r="M245" s="22" t="s">
        <v>88</v>
      </c>
      <c r="N245" s="24">
        <v>289.32</v>
      </c>
      <c r="O245" s="22">
        <f>YEAR(B245)</f>
        <v>2025</v>
      </c>
      <c r="P245" s="25">
        <f>DATE(YEAR(B245),MONTH(B245),1)</f>
        <v>45778</v>
      </c>
      <c r="Q245" s="22" t="str">
        <f>IF(N245&gt;Summary!$C$17,"Outlier","")</f>
        <v/>
      </c>
      <c r="R245" s="22" t="str">
        <f>IF(L245="","None",L245)</f>
        <v>FREESHIP</v>
      </c>
    </row>
    <row r="246" spans="1:18" x14ac:dyDescent="0.2">
      <c r="A246" s="22" t="s">
        <v>1059</v>
      </c>
      <c r="B246" s="23">
        <v>44973</v>
      </c>
      <c r="C246" s="22" t="s">
        <v>1060</v>
      </c>
      <c r="D246" s="22" t="s">
        <v>66</v>
      </c>
      <c r="E246" s="22">
        <v>2</v>
      </c>
      <c r="F246" s="24">
        <v>317.77</v>
      </c>
      <c r="G246" s="22" t="s">
        <v>1061</v>
      </c>
      <c r="H246" s="22" t="s">
        <v>77</v>
      </c>
      <c r="I246" s="22" t="s">
        <v>73</v>
      </c>
      <c r="J246" s="22" t="s">
        <v>1062</v>
      </c>
      <c r="K246" s="22">
        <v>4</v>
      </c>
      <c r="L246" s="22" t="s">
        <v>84</v>
      </c>
      <c r="M246" s="22" t="s">
        <v>87</v>
      </c>
      <c r="N246" s="24">
        <v>635.54</v>
      </c>
      <c r="O246" s="22">
        <f>YEAR(B246)</f>
        <v>2023</v>
      </c>
      <c r="P246" s="25">
        <f>DATE(YEAR(B246),MONTH(B246),1)</f>
        <v>44958</v>
      </c>
      <c r="Q246" s="22" t="str">
        <f>IF(N246&gt;Summary!$C$17,"Outlier","")</f>
        <v/>
      </c>
      <c r="R246" s="22" t="str">
        <f>IF(L246="","None",L246)</f>
        <v>WINTER15</v>
      </c>
    </row>
    <row r="247" spans="1:18" x14ac:dyDescent="0.2">
      <c r="A247" s="22" t="s">
        <v>1063</v>
      </c>
      <c r="B247" s="23">
        <v>45767</v>
      </c>
      <c r="C247" s="22" t="s">
        <v>1064</v>
      </c>
      <c r="D247" s="22" t="s">
        <v>63</v>
      </c>
      <c r="E247" s="22">
        <v>1</v>
      </c>
      <c r="F247" s="24">
        <v>223.3</v>
      </c>
      <c r="G247" s="22" t="s">
        <v>1065</v>
      </c>
      <c r="H247" s="22" t="s">
        <v>79</v>
      </c>
      <c r="I247" s="22" t="s">
        <v>72</v>
      </c>
      <c r="J247" s="22" t="s">
        <v>1066</v>
      </c>
      <c r="K247" s="22">
        <v>1</v>
      </c>
      <c r="L247" s="22"/>
      <c r="M247" s="22" t="s">
        <v>87</v>
      </c>
      <c r="N247" s="24">
        <v>223.3</v>
      </c>
      <c r="O247" s="22">
        <f>YEAR(B247)</f>
        <v>2025</v>
      </c>
      <c r="P247" s="25">
        <f>DATE(YEAR(B247),MONTH(B247),1)</f>
        <v>45748</v>
      </c>
      <c r="Q247" s="22" t="str">
        <f>IF(N247&gt;Summary!$C$17,"Outlier","")</f>
        <v/>
      </c>
      <c r="R247" s="22" t="str">
        <f>IF(L247="","None",L247)</f>
        <v>None</v>
      </c>
    </row>
    <row r="248" spans="1:18" x14ac:dyDescent="0.2">
      <c r="A248" s="22" t="s">
        <v>1067</v>
      </c>
      <c r="B248" s="23">
        <v>45534</v>
      </c>
      <c r="C248" s="22" t="s">
        <v>1068</v>
      </c>
      <c r="D248" s="22" t="s">
        <v>66</v>
      </c>
      <c r="E248" s="22">
        <v>2</v>
      </c>
      <c r="F248" s="24">
        <v>342.11</v>
      </c>
      <c r="G248" s="22" t="s">
        <v>1069</v>
      </c>
      <c r="H248" s="22" t="s">
        <v>78</v>
      </c>
      <c r="I248" s="22" t="s">
        <v>70</v>
      </c>
      <c r="J248" s="22" t="s">
        <v>1070</v>
      </c>
      <c r="K248" s="22">
        <v>2</v>
      </c>
      <c r="L248" s="22" t="s">
        <v>84</v>
      </c>
      <c r="M248" s="22" t="s">
        <v>89</v>
      </c>
      <c r="N248" s="24">
        <v>684.22</v>
      </c>
      <c r="O248" s="22">
        <f>YEAR(B248)</f>
        <v>2024</v>
      </c>
      <c r="P248" s="25">
        <f>DATE(YEAR(B248),MONTH(B248),1)</f>
        <v>45505</v>
      </c>
      <c r="Q248" s="22" t="str">
        <f>IF(N248&gt;Summary!$C$17,"Outlier","")</f>
        <v/>
      </c>
      <c r="R248" s="22" t="str">
        <f>IF(L248="","None",L248)</f>
        <v>WINTER15</v>
      </c>
    </row>
    <row r="249" spans="1:18" x14ac:dyDescent="0.2">
      <c r="A249" s="22" t="s">
        <v>1071</v>
      </c>
      <c r="B249" s="23">
        <v>45127</v>
      </c>
      <c r="C249" s="22" t="s">
        <v>1072</v>
      </c>
      <c r="D249" s="22" t="s">
        <v>62</v>
      </c>
      <c r="E249" s="22">
        <v>2</v>
      </c>
      <c r="F249" s="24">
        <v>220.9</v>
      </c>
      <c r="G249" s="22" t="s">
        <v>1073</v>
      </c>
      <c r="H249" s="22" t="s">
        <v>78</v>
      </c>
      <c r="I249" s="22" t="s">
        <v>70</v>
      </c>
      <c r="J249" s="22" t="s">
        <v>1074</v>
      </c>
      <c r="K249" s="22">
        <v>4</v>
      </c>
      <c r="L249" s="22"/>
      <c r="M249" s="22" t="s">
        <v>86</v>
      </c>
      <c r="N249" s="24">
        <v>441.8</v>
      </c>
      <c r="O249" s="22">
        <f>YEAR(B249)</f>
        <v>2023</v>
      </c>
      <c r="P249" s="25">
        <f>DATE(YEAR(B249),MONTH(B249),1)</f>
        <v>45108</v>
      </c>
      <c r="Q249" s="22" t="str">
        <f>IF(N249&gt;Summary!$C$17,"Outlier","")</f>
        <v/>
      </c>
      <c r="R249" s="22" t="str">
        <f>IF(L249="","None",L249)</f>
        <v>None</v>
      </c>
    </row>
    <row r="250" spans="1:18" x14ac:dyDescent="0.2">
      <c r="A250" s="22" t="s">
        <v>1075</v>
      </c>
      <c r="B250" s="23">
        <v>45109</v>
      </c>
      <c r="C250" s="22" t="s">
        <v>1076</v>
      </c>
      <c r="D250" s="22" t="s">
        <v>63</v>
      </c>
      <c r="E250" s="22">
        <v>1</v>
      </c>
      <c r="F250" s="24">
        <v>670.54</v>
      </c>
      <c r="G250" s="22" t="s">
        <v>1077</v>
      </c>
      <c r="H250" s="22" t="s">
        <v>75</v>
      </c>
      <c r="I250" s="22" t="s">
        <v>70</v>
      </c>
      <c r="J250" s="22" t="s">
        <v>1078</v>
      </c>
      <c r="K250" s="22">
        <v>6</v>
      </c>
      <c r="L250" s="22" t="s">
        <v>82</v>
      </c>
      <c r="M250" s="22" t="s">
        <v>90</v>
      </c>
      <c r="N250" s="24">
        <v>670.54</v>
      </c>
      <c r="O250" s="22">
        <f>YEAR(B250)</f>
        <v>2023</v>
      </c>
      <c r="P250" s="25">
        <f>DATE(YEAR(B250),MONTH(B250),1)</f>
        <v>45108</v>
      </c>
      <c r="Q250" s="22" t="str">
        <f>IF(N250&gt;Summary!$C$17,"Outlier","")</f>
        <v/>
      </c>
      <c r="R250" s="22" t="str">
        <f>IF(L250="","None",L250)</f>
        <v>FREESHIP</v>
      </c>
    </row>
    <row r="251" spans="1:18" x14ac:dyDescent="0.2">
      <c r="A251" s="22" t="s">
        <v>1079</v>
      </c>
      <c r="B251" s="23">
        <v>45329</v>
      </c>
      <c r="C251" s="22" t="s">
        <v>1080</v>
      </c>
      <c r="D251" s="22" t="s">
        <v>62</v>
      </c>
      <c r="E251" s="22">
        <v>1</v>
      </c>
      <c r="F251" s="24">
        <v>546.19000000000005</v>
      </c>
      <c r="G251" s="22" t="s">
        <v>1081</v>
      </c>
      <c r="H251" s="22" t="s">
        <v>75</v>
      </c>
      <c r="I251" s="22" t="s">
        <v>71</v>
      </c>
      <c r="J251" s="22" t="s">
        <v>1082</v>
      </c>
      <c r="K251" s="22">
        <v>5</v>
      </c>
      <c r="L251" s="22" t="s">
        <v>82</v>
      </c>
      <c r="M251" s="22" t="s">
        <v>90</v>
      </c>
      <c r="N251" s="24">
        <v>546.19000000000005</v>
      </c>
      <c r="O251" s="22">
        <f>YEAR(B251)</f>
        <v>2024</v>
      </c>
      <c r="P251" s="25">
        <f>DATE(YEAR(B251),MONTH(B251),1)</f>
        <v>45323</v>
      </c>
      <c r="Q251" s="22" t="str">
        <f>IF(N251&gt;Summary!$C$17,"Outlier","")</f>
        <v/>
      </c>
      <c r="R251" s="22" t="str">
        <f>IF(L251="","None",L251)</f>
        <v>FREESHIP</v>
      </c>
    </row>
    <row r="252" spans="1:18" x14ac:dyDescent="0.2">
      <c r="A252" s="22" t="s">
        <v>1083</v>
      </c>
      <c r="B252" s="23">
        <v>45021</v>
      </c>
      <c r="C252" s="22" t="s">
        <v>1084</v>
      </c>
      <c r="D252" s="22" t="s">
        <v>66</v>
      </c>
      <c r="E252" s="22">
        <v>3</v>
      </c>
      <c r="F252" s="24">
        <v>42.95</v>
      </c>
      <c r="G252" s="22" t="s">
        <v>465</v>
      </c>
      <c r="H252" s="22" t="s">
        <v>78</v>
      </c>
      <c r="I252" s="22" t="s">
        <v>72</v>
      </c>
      <c r="J252" s="22" t="s">
        <v>1085</v>
      </c>
      <c r="K252" s="22">
        <v>8</v>
      </c>
      <c r="L252" s="22" t="s">
        <v>83</v>
      </c>
      <c r="M252" s="22" t="s">
        <v>86</v>
      </c>
      <c r="N252" s="24">
        <v>128.85</v>
      </c>
      <c r="O252" s="22">
        <f>YEAR(B252)</f>
        <v>2023</v>
      </c>
      <c r="P252" s="25">
        <f>DATE(YEAR(B252),MONTH(B252),1)</f>
        <v>45017</v>
      </c>
      <c r="Q252" s="22" t="str">
        <f>IF(N252&gt;Summary!$C$17,"Outlier","")</f>
        <v/>
      </c>
      <c r="R252" s="22" t="str">
        <f>IF(L252="","None",L252)</f>
        <v>SAVE10</v>
      </c>
    </row>
    <row r="253" spans="1:18" x14ac:dyDescent="0.2">
      <c r="A253" s="22" t="s">
        <v>1086</v>
      </c>
      <c r="B253" s="23">
        <v>45792</v>
      </c>
      <c r="C253" s="22" t="s">
        <v>1087</v>
      </c>
      <c r="D253" s="22" t="s">
        <v>65</v>
      </c>
      <c r="E253" s="22">
        <v>4</v>
      </c>
      <c r="F253" s="24">
        <v>14.69</v>
      </c>
      <c r="G253" s="22" t="s">
        <v>1088</v>
      </c>
      <c r="H253" s="22" t="s">
        <v>75</v>
      </c>
      <c r="I253" s="22" t="s">
        <v>73</v>
      </c>
      <c r="J253" s="22" t="s">
        <v>1089</v>
      </c>
      <c r="K253" s="22">
        <v>9</v>
      </c>
      <c r="L253" s="22"/>
      <c r="M253" s="22" t="s">
        <v>86</v>
      </c>
      <c r="N253" s="24">
        <v>58.76</v>
      </c>
      <c r="O253" s="22">
        <f>YEAR(B253)</f>
        <v>2025</v>
      </c>
      <c r="P253" s="25">
        <f>DATE(YEAR(B253),MONTH(B253),1)</f>
        <v>45778</v>
      </c>
      <c r="Q253" s="22" t="str">
        <f>IF(N253&gt;Summary!$C$17,"Outlier","")</f>
        <v/>
      </c>
      <c r="R253" s="22" t="str">
        <f>IF(L253="","None",L253)</f>
        <v>None</v>
      </c>
    </row>
    <row r="254" spans="1:18" x14ac:dyDescent="0.2">
      <c r="A254" s="22" t="s">
        <v>1090</v>
      </c>
      <c r="B254" s="23">
        <v>45555</v>
      </c>
      <c r="C254" s="22" t="s">
        <v>1091</v>
      </c>
      <c r="D254" s="22" t="s">
        <v>67</v>
      </c>
      <c r="E254" s="22">
        <v>4</v>
      </c>
      <c r="F254" s="24">
        <v>668.36</v>
      </c>
      <c r="G254" s="22" t="s">
        <v>1092</v>
      </c>
      <c r="H254" s="22" t="s">
        <v>78</v>
      </c>
      <c r="I254" s="22" t="s">
        <v>73</v>
      </c>
      <c r="J254" s="22" t="s">
        <v>1093</v>
      </c>
      <c r="K254" s="22">
        <v>5</v>
      </c>
      <c r="L254" s="22" t="s">
        <v>82</v>
      </c>
      <c r="M254" s="22" t="s">
        <v>87</v>
      </c>
      <c r="N254" s="24">
        <v>2673.44</v>
      </c>
      <c r="O254" s="22">
        <f>YEAR(B254)</f>
        <v>2024</v>
      </c>
      <c r="P254" s="25">
        <f>DATE(YEAR(B254),MONTH(B254),1)</f>
        <v>45536</v>
      </c>
      <c r="Q254" s="22" t="str">
        <f>IF(N254&gt;Summary!$C$17,"Outlier","")</f>
        <v/>
      </c>
      <c r="R254" s="22" t="str">
        <f>IF(L254="","None",L254)</f>
        <v>FREESHIP</v>
      </c>
    </row>
    <row r="255" spans="1:18" x14ac:dyDescent="0.2">
      <c r="A255" s="22" t="s">
        <v>1094</v>
      </c>
      <c r="B255" s="23">
        <v>45374</v>
      </c>
      <c r="C255" s="22" t="s">
        <v>1095</v>
      </c>
      <c r="D255" s="22" t="s">
        <v>61</v>
      </c>
      <c r="E255" s="22">
        <v>4</v>
      </c>
      <c r="F255" s="24">
        <v>413.74</v>
      </c>
      <c r="G255" s="22" t="s">
        <v>512</v>
      </c>
      <c r="H255" s="22" t="s">
        <v>78</v>
      </c>
      <c r="I255" s="22" t="s">
        <v>72</v>
      </c>
      <c r="J255" s="22" t="s">
        <v>1096</v>
      </c>
      <c r="K255" s="22">
        <v>7</v>
      </c>
      <c r="L255" s="22" t="s">
        <v>82</v>
      </c>
      <c r="M255" s="22" t="s">
        <v>89</v>
      </c>
      <c r="N255" s="24">
        <v>1654.96</v>
      </c>
      <c r="O255" s="22">
        <f>YEAR(B255)</f>
        <v>2024</v>
      </c>
      <c r="P255" s="25">
        <f>DATE(YEAR(B255),MONTH(B255),1)</f>
        <v>45352</v>
      </c>
      <c r="Q255" s="22" t="str">
        <f>IF(N255&gt;Summary!$C$17,"Outlier","")</f>
        <v/>
      </c>
      <c r="R255" s="22" t="str">
        <f>IF(L255="","None",L255)</f>
        <v>FREESHIP</v>
      </c>
    </row>
    <row r="256" spans="1:18" x14ac:dyDescent="0.2">
      <c r="A256" s="22" t="s">
        <v>1097</v>
      </c>
      <c r="B256" s="23">
        <v>45286</v>
      </c>
      <c r="C256" s="22" t="s">
        <v>1098</v>
      </c>
      <c r="D256" s="22" t="s">
        <v>65</v>
      </c>
      <c r="E256" s="22">
        <v>3</v>
      </c>
      <c r="F256" s="24">
        <v>263.19</v>
      </c>
      <c r="G256" s="22" t="s">
        <v>1037</v>
      </c>
      <c r="H256" s="22" t="s">
        <v>79</v>
      </c>
      <c r="I256" s="22" t="s">
        <v>69</v>
      </c>
      <c r="J256" s="22" t="s">
        <v>1099</v>
      </c>
      <c r="K256" s="22">
        <v>5</v>
      </c>
      <c r="L256" s="22"/>
      <c r="M256" s="22" t="s">
        <v>89</v>
      </c>
      <c r="N256" s="24">
        <v>789.57</v>
      </c>
      <c r="O256" s="22">
        <f>YEAR(B256)</f>
        <v>2023</v>
      </c>
      <c r="P256" s="25">
        <f>DATE(YEAR(B256),MONTH(B256),1)</f>
        <v>45261</v>
      </c>
      <c r="Q256" s="22" t="str">
        <f>IF(N256&gt;Summary!$C$17,"Outlier","")</f>
        <v/>
      </c>
      <c r="R256" s="22" t="str">
        <f>IF(L256="","None",L256)</f>
        <v>None</v>
      </c>
    </row>
    <row r="257" spans="1:18" x14ac:dyDescent="0.2">
      <c r="A257" s="22" t="s">
        <v>1100</v>
      </c>
      <c r="B257" s="23">
        <v>45425</v>
      </c>
      <c r="C257" s="22" t="s">
        <v>1101</v>
      </c>
      <c r="D257" s="22" t="s">
        <v>65</v>
      </c>
      <c r="E257" s="22">
        <v>1</v>
      </c>
      <c r="F257" s="24">
        <v>263.95999999999998</v>
      </c>
      <c r="G257" s="22" t="s">
        <v>792</v>
      </c>
      <c r="H257" s="22" t="s">
        <v>78</v>
      </c>
      <c r="I257" s="22" t="s">
        <v>72</v>
      </c>
      <c r="J257" s="22" t="s">
        <v>1102</v>
      </c>
      <c r="K257" s="22">
        <v>2</v>
      </c>
      <c r="L257" s="22" t="s">
        <v>83</v>
      </c>
      <c r="M257" s="22" t="s">
        <v>88</v>
      </c>
      <c r="N257" s="24">
        <v>263.95999999999998</v>
      </c>
      <c r="O257" s="22">
        <f>YEAR(B257)</f>
        <v>2024</v>
      </c>
      <c r="P257" s="25">
        <f>DATE(YEAR(B257),MONTH(B257),1)</f>
        <v>45413</v>
      </c>
      <c r="Q257" s="22" t="str">
        <f>IF(N257&gt;Summary!$C$17,"Outlier","")</f>
        <v/>
      </c>
      <c r="R257" s="22" t="str">
        <f>IF(L257="","None",L257)</f>
        <v>SAVE10</v>
      </c>
    </row>
    <row r="258" spans="1:18" x14ac:dyDescent="0.2">
      <c r="A258" s="22" t="s">
        <v>1103</v>
      </c>
      <c r="B258" s="23">
        <v>45838</v>
      </c>
      <c r="C258" s="22" t="s">
        <v>1104</v>
      </c>
      <c r="D258" s="22" t="s">
        <v>61</v>
      </c>
      <c r="E258" s="22">
        <v>5</v>
      </c>
      <c r="F258" s="24">
        <v>75.81</v>
      </c>
      <c r="G258" s="22" t="s">
        <v>1105</v>
      </c>
      <c r="H258" s="22" t="s">
        <v>78</v>
      </c>
      <c r="I258" s="22" t="s">
        <v>72</v>
      </c>
      <c r="J258" s="22" t="s">
        <v>1106</v>
      </c>
      <c r="K258" s="22">
        <v>10</v>
      </c>
      <c r="L258" s="22" t="s">
        <v>84</v>
      </c>
      <c r="M258" s="22" t="s">
        <v>89</v>
      </c>
      <c r="N258" s="24">
        <v>379.05</v>
      </c>
      <c r="O258" s="22">
        <f>YEAR(B258)</f>
        <v>2025</v>
      </c>
      <c r="P258" s="25">
        <f>DATE(YEAR(B258),MONTH(B258),1)</f>
        <v>45809</v>
      </c>
      <c r="Q258" s="22" t="str">
        <f>IF(N258&gt;Summary!$C$17,"Outlier","")</f>
        <v/>
      </c>
      <c r="R258" s="22" t="str">
        <f>IF(L258="","None",L258)</f>
        <v>WINTER15</v>
      </c>
    </row>
    <row r="259" spans="1:18" x14ac:dyDescent="0.2">
      <c r="A259" s="22" t="s">
        <v>1107</v>
      </c>
      <c r="B259" s="23">
        <v>45405</v>
      </c>
      <c r="C259" s="22" t="s">
        <v>1108</v>
      </c>
      <c r="D259" s="22" t="s">
        <v>67</v>
      </c>
      <c r="E259" s="22">
        <v>1</v>
      </c>
      <c r="F259" s="24">
        <v>406.22</v>
      </c>
      <c r="G259" s="22" t="s">
        <v>1109</v>
      </c>
      <c r="H259" s="22" t="s">
        <v>76</v>
      </c>
      <c r="I259" s="22" t="s">
        <v>73</v>
      </c>
      <c r="J259" s="22" t="s">
        <v>1110</v>
      </c>
      <c r="K259" s="22">
        <v>5</v>
      </c>
      <c r="L259" s="22" t="s">
        <v>83</v>
      </c>
      <c r="M259" s="22" t="s">
        <v>90</v>
      </c>
      <c r="N259" s="24">
        <v>406.22</v>
      </c>
      <c r="O259" s="22">
        <f>YEAR(B259)</f>
        <v>2024</v>
      </c>
      <c r="P259" s="25">
        <f>DATE(YEAR(B259),MONTH(B259),1)</f>
        <v>45383</v>
      </c>
      <c r="Q259" s="22" t="str">
        <f>IF(N259&gt;Summary!$C$17,"Outlier","")</f>
        <v/>
      </c>
      <c r="R259" s="22" t="str">
        <f>IF(L259="","None",L259)</f>
        <v>SAVE10</v>
      </c>
    </row>
    <row r="260" spans="1:18" x14ac:dyDescent="0.2">
      <c r="A260" s="22" t="s">
        <v>1111</v>
      </c>
      <c r="B260" s="23">
        <v>45348</v>
      </c>
      <c r="C260" s="22" t="s">
        <v>1112</v>
      </c>
      <c r="D260" s="22" t="s">
        <v>64</v>
      </c>
      <c r="E260" s="22">
        <v>2</v>
      </c>
      <c r="F260" s="24">
        <v>103.41</v>
      </c>
      <c r="G260" s="22" t="s">
        <v>1113</v>
      </c>
      <c r="H260" s="22" t="s">
        <v>79</v>
      </c>
      <c r="I260" s="22" t="s">
        <v>70</v>
      </c>
      <c r="J260" s="22" t="s">
        <v>1114</v>
      </c>
      <c r="K260" s="22">
        <v>2</v>
      </c>
      <c r="L260" s="22" t="s">
        <v>82</v>
      </c>
      <c r="M260" s="22" t="s">
        <v>90</v>
      </c>
      <c r="N260" s="24">
        <v>206.82</v>
      </c>
      <c r="O260" s="22">
        <f>YEAR(B260)</f>
        <v>2024</v>
      </c>
      <c r="P260" s="25">
        <f>DATE(YEAR(B260),MONTH(B260),1)</f>
        <v>45323</v>
      </c>
      <c r="Q260" s="22" t="str">
        <f>IF(N260&gt;Summary!$C$17,"Outlier","")</f>
        <v/>
      </c>
      <c r="R260" s="22" t="str">
        <f>IF(L260="","None",L260)</f>
        <v>FREESHIP</v>
      </c>
    </row>
    <row r="261" spans="1:18" x14ac:dyDescent="0.2">
      <c r="A261" s="22" t="s">
        <v>1115</v>
      </c>
      <c r="B261" s="23">
        <v>45088</v>
      </c>
      <c r="C261" s="22" t="s">
        <v>1116</v>
      </c>
      <c r="D261" s="22" t="s">
        <v>61</v>
      </c>
      <c r="E261" s="22">
        <v>4</v>
      </c>
      <c r="F261" s="24">
        <v>435.12</v>
      </c>
      <c r="G261" s="22" t="s">
        <v>642</v>
      </c>
      <c r="H261" s="22" t="s">
        <v>76</v>
      </c>
      <c r="I261" s="22" t="s">
        <v>69</v>
      </c>
      <c r="J261" s="22" t="s">
        <v>1117</v>
      </c>
      <c r="K261" s="22">
        <v>9</v>
      </c>
      <c r="L261" s="22" t="s">
        <v>83</v>
      </c>
      <c r="M261" s="22" t="s">
        <v>89</v>
      </c>
      <c r="N261" s="24">
        <v>1740.48</v>
      </c>
      <c r="O261" s="22">
        <f>YEAR(B261)</f>
        <v>2023</v>
      </c>
      <c r="P261" s="25">
        <f>DATE(YEAR(B261),MONTH(B261),1)</f>
        <v>45078</v>
      </c>
      <c r="Q261" s="22" t="str">
        <f>IF(N261&gt;Summary!$C$17,"Outlier","")</f>
        <v/>
      </c>
      <c r="R261" s="22" t="str">
        <f>IF(L261="","None",L261)</f>
        <v>SAVE10</v>
      </c>
    </row>
    <row r="262" spans="1:18" x14ac:dyDescent="0.2">
      <c r="A262" s="22" t="s">
        <v>1118</v>
      </c>
      <c r="B262" s="23">
        <v>45063</v>
      </c>
      <c r="C262" s="22" t="s">
        <v>1119</v>
      </c>
      <c r="D262" s="22" t="s">
        <v>65</v>
      </c>
      <c r="E262" s="22">
        <v>2</v>
      </c>
      <c r="F262" s="24">
        <v>407.79</v>
      </c>
      <c r="G262" s="22" t="s">
        <v>1120</v>
      </c>
      <c r="H262" s="22" t="s">
        <v>77</v>
      </c>
      <c r="I262" s="22" t="s">
        <v>70</v>
      </c>
      <c r="J262" s="22" t="s">
        <v>1121</v>
      </c>
      <c r="K262" s="22">
        <v>3</v>
      </c>
      <c r="L262" s="22"/>
      <c r="M262" s="22" t="s">
        <v>88</v>
      </c>
      <c r="N262" s="24">
        <v>815.58</v>
      </c>
      <c r="O262" s="22">
        <f>YEAR(B262)</f>
        <v>2023</v>
      </c>
      <c r="P262" s="25">
        <f>DATE(YEAR(B262),MONTH(B262),1)</f>
        <v>45047</v>
      </c>
      <c r="Q262" s="22" t="str">
        <f>IF(N262&gt;Summary!$C$17,"Outlier","")</f>
        <v/>
      </c>
      <c r="R262" s="22" t="str">
        <f>IF(L262="","None",L262)</f>
        <v>None</v>
      </c>
    </row>
    <row r="263" spans="1:18" x14ac:dyDescent="0.2">
      <c r="A263" s="22" t="s">
        <v>1122</v>
      </c>
      <c r="B263" s="23">
        <v>45805</v>
      </c>
      <c r="C263" s="22" t="s">
        <v>1123</v>
      </c>
      <c r="D263" s="22" t="s">
        <v>67</v>
      </c>
      <c r="E263" s="22">
        <v>5</v>
      </c>
      <c r="F263" s="24">
        <v>173.65</v>
      </c>
      <c r="G263" s="22" t="s">
        <v>1124</v>
      </c>
      <c r="H263" s="22" t="s">
        <v>78</v>
      </c>
      <c r="I263" s="22" t="s">
        <v>69</v>
      </c>
      <c r="J263" s="22" t="s">
        <v>1125</v>
      </c>
      <c r="K263" s="22">
        <v>9</v>
      </c>
      <c r="L263" s="22" t="s">
        <v>83</v>
      </c>
      <c r="M263" s="22" t="s">
        <v>86</v>
      </c>
      <c r="N263" s="24">
        <v>868.25</v>
      </c>
      <c r="O263" s="22">
        <f>YEAR(B263)</f>
        <v>2025</v>
      </c>
      <c r="P263" s="25">
        <f>DATE(YEAR(B263),MONTH(B263),1)</f>
        <v>45778</v>
      </c>
      <c r="Q263" s="22" t="str">
        <f>IF(N263&gt;Summary!$C$17,"Outlier","")</f>
        <v/>
      </c>
      <c r="R263" s="22" t="str">
        <f>IF(L263="","None",L263)</f>
        <v>SAVE10</v>
      </c>
    </row>
    <row r="264" spans="1:18" x14ac:dyDescent="0.2">
      <c r="A264" s="22" t="s">
        <v>1126</v>
      </c>
      <c r="B264" s="23">
        <v>44936</v>
      </c>
      <c r="C264" s="22" t="s">
        <v>1127</v>
      </c>
      <c r="D264" s="22" t="s">
        <v>67</v>
      </c>
      <c r="E264" s="22">
        <v>4</v>
      </c>
      <c r="F264" s="24">
        <v>249.07</v>
      </c>
      <c r="G264" s="22" t="s">
        <v>649</v>
      </c>
      <c r="H264" s="22" t="s">
        <v>76</v>
      </c>
      <c r="I264" s="22" t="s">
        <v>72</v>
      </c>
      <c r="J264" s="22" t="s">
        <v>1128</v>
      </c>
      <c r="K264" s="22">
        <v>5</v>
      </c>
      <c r="L264" s="22" t="s">
        <v>84</v>
      </c>
      <c r="M264" s="22" t="s">
        <v>90</v>
      </c>
      <c r="N264" s="24">
        <v>996.28</v>
      </c>
      <c r="O264" s="22">
        <f>YEAR(B264)</f>
        <v>2023</v>
      </c>
      <c r="P264" s="25">
        <f>DATE(YEAR(B264),MONTH(B264),1)</f>
        <v>44927</v>
      </c>
      <c r="Q264" s="22" t="str">
        <f>IF(N264&gt;Summary!$C$17,"Outlier","")</f>
        <v/>
      </c>
      <c r="R264" s="22" t="str">
        <f>IF(L264="","None",L264)</f>
        <v>WINTER15</v>
      </c>
    </row>
    <row r="265" spans="1:18" x14ac:dyDescent="0.2">
      <c r="A265" s="22" t="s">
        <v>1129</v>
      </c>
      <c r="B265" s="23">
        <v>45010</v>
      </c>
      <c r="C265" s="22" t="s">
        <v>1130</v>
      </c>
      <c r="D265" s="22" t="s">
        <v>67</v>
      </c>
      <c r="E265" s="22">
        <v>4</v>
      </c>
      <c r="F265" s="24">
        <v>434.85</v>
      </c>
      <c r="G265" s="22" t="s">
        <v>1131</v>
      </c>
      <c r="H265" s="22" t="s">
        <v>76</v>
      </c>
      <c r="I265" s="22" t="s">
        <v>71</v>
      </c>
      <c r="J265" s="22" t="s">
        <v>1132</v>
      </c>
      <c r="K265" s="22">
        <v>4</v>
      </c>
      <c r="L265" s="22" t="s">
        <v>84</v>
      </c>
      <c r="M265" s="22" t="s">
        <v>88</v>
      </c>
      <c r="N265" s="24">
        <v>1739.4</v>
      </c>
      <c r="O265" s="22">
        <f>YEAR(B265)</f>
        <v>2023</v>
      </c>
      <c r="P265" s="25">
        <f>DATE(YEAR(B265),MONTH(B265),1)</f>
        <v>44986</v>
      </c>
      <c r="Q265" s="22" t="str">
        <f>IF(N265&gt;Summary!$C$17,"Outlier","")</f>
        <v/>
      </c>
      <c r="R265" s="22" t="str">
        <f>IF(L265="","None",L265)</f>
        <v>WINTER15</v>
      </c>
    </row>
    <row r="266" spans="1:18" x14ac:dyDescent="0.2">
      <c r="A266" s="22" t="s">
        <v>1133</v>
      </c>
      <c r="B266" s="23">
        <v>45507</v>
      </c>
      <c r="C266" s="22" t="s">
        <v>1134</v>
      </c>
      <c r="D266" s="22" t="s">
        <v>64</v>
      </c>
      <c r="E266" s="22">
        <v>1</v>
      </c>
      <c r="F266" s="24">
        <v>436.77</v>
      </c>
      <c r="G266" s="22" t="s">
        <v>1135</v>
      </c>
      <c r="H266" s="22" t="s">
        <v>75</v>
      </c>
      <c r="I266" s="22" t="s">
        <v>72</v>
      </c>
      <c r="J266" s="22" t="s">
        <v>1136</v>
      </c>
      <c r="K266" s="22">
        <v>5</v>
      </c>
      <c r="L266" s="22" t="s">
        <v>82</v>
      </c>
      <c r="M266" s="22" t="s">
        <v>88</v>
      </c>
      <c r="N266" s="24">
        <v>436.77</v>
      </c>
      <c r="O266" s="22">
        <f>YEAR(B266)</f>
        <v>2024</v>
      </c>
      <c r="P266" s="25">
        <f>DATE(YEAR(B266),MONTH(B266),1)</f>
        <v>45505</v>
      </c>
      <c r="Q266" s="22" t="str">
        <f>IF(N266&gt;Summary!$C$17,"Outlier","")</f>
        <v/>
      </c>
      <c r="R266" s="22" t="str">
        <f>IF(L266="","None",L266)</f>
        <v>FREESHIP</v>
      </c>
    </row>
    <row r="267" spans="1:18" x14ac:dyDescent="0.2">
      <c r="A267" s="22" t="s">
        <v>1137</v>
      </c>
      <c r="B267" s="23">
        <v>45282</v>
      </c>
      <c r="C267" s="22" t="s">
        <v>1138</v>
      </c>
      <c r="D267" s="22" t="s">
        <v>62</v>
      </c>
      <c r="E267" s="22">
        <v>1</v>
      </c>
      <c r="F267" s="24">
        <v>572.13</v>
      </c>
      <c r="G267" s="22" t="s">
        <v>1139</v>
      </c>
      <c r="H267" s="22" t="s">
        <v>77</v>
      </c>
      <c r="I267" s="22" t="s">
        <v>73</v>
      </c>
      <c r="J267" s="22" t="s">
        <v>1140</v>
      </c>
      <c r="K267" s="22">
        <v>4</v>
      </c>
      <c r="L267" s="22" t="s">
        <v>83</v>
      </c>
      <c r="M267" s="22" t="s">
        <v>88</v>
      </c>
      <c r="N267" s="24">
        <v>572.13</v>
      </c>
      <c r="O267" s="22">
        <f>YEAR(B267)</f>
        <v>2023</v>
      </c>
      <c r="P267" s="25">
        <f>DATE(YEAR(B267),MONTH(B267),1)</f>
        <v>45261</v>
      </c>
      <c r="Q267" s="22" t="str">
        <f>IF(N267&gt;Summary!$C$17,"Outlier","")</f>
        <v/>
      </c>
      <c r="R267" s="22" t="str">
        <f>IF(L267="","None",L267)</f>
        <v>SAVE10</v>
      </c>
    </row>
    <row r="268" spans="1:18" x14ac:dyDescent="0.2">
      <c r="A268" s="22" t="s">
        <v>1141</v>
      </c>
      <c r="B268" s="23">
        <v>45451</v>
      </c>
      <c r="C268" s="22" t="s">
        <v>1142</v>
      </c>
      <c r="D268" s="22" t="s">
        <v>61</v>
      </c>
      <c r="E268" s="22">
        <v>4</v>
      </c>
      <c r="F268" s="24">
        <v>583.07000000000005</v>
      </c>
      <c r="G268" s="22" t="s">
        <v>1143</v>
      </c>
      <c r="H268" s="22" t="s">
        <v>76</v>
      </c>
      <c r="I268" s="22" t="s">
        <v>73</v>
      </c>
      <c r="J268" s="22" t="s">
        <v>1144</v>
      </c>
      <c r="K268" s="22">
        <v>6</v>
      </c>
      <c r="L268" s="22" t="s">
        <v>82</v>
      </c>
      <c r="M268" s="22" t="s">
        <v>90</v>
      </c>
      <c r="N268" s="24">
        <v>2332.2800000000002</v>
      </c>
      <c r="O268" s="22">
        <f>YEAR(B268)</f>
        <v>2024</v>
      </c>
      <c r="P268" s="25">
        <f>DATE(YEAR(B268),MONTH(B268),1)</f>
        <v>45444</v>
      </c>
      <c r="Q268" s="22" t="str">
        <f>IF(N268&gt;Summary!$C$17,"Outlier","")</f>
        <v/>
      </c>
      <c r="R268" s="22" t="str">
        <f>IF(L268="","None",L268)</f>
        <v>FREESHIP</v>
      </c>
    </row>
    <row r="269" spans="1:18" x14ac:dyDescent="0.2">
      <c r="A269" s="22" t="s">
        <v>1145</v>
      </c>
      <c r="B269" s="23">
        <v>45764</v>
      </c>
      <c r="C269" s="22" t="s">
        <v>1146</v>
      </c>
      <c r="D269" s="22" t="s">
        <v>61</v>
      </c>
      <c r="E269" s="22">
        <v>5</v>
      </c>
      <c r="F269" s="24">
        <v>468.51</v>
      </c>
      <c r="G269" s="22" t="s">
        <v>1147</v>
      </c>
      <c r="H269" s="22" t="s">
        <v>77</v>
      </c>
      <c r="I269" s="22" t="s">
        <v>69</v>
      </c>
      <c r="J269" s="22" t="s">
        <v>1148</v>
      </c>
      <c r="K269" s="22">
        <v>9</v>
      </c>
      <c r="L269" s="22"/>
      <c r="M269" s="22" t="s">
        <v>87</v>
      </c>
      <c r="N269" s="24">
        <v>2342.5500000000002</v>
      </c>
      <c r="O269" s="22">
        <f>YEAR(B269)</f>
        <v>2025</v>
      </c>
      <c r="P269" s="25">
        <f>DATE(YEAR(B269),MONTH(B269),1)</f>
        <v>45748</v>
      </c>
      <c r="Q269" s="22" t="str">
        <f>IF(N269&gt;Summary!$C$17,"Outlier","")</f>
        <v/>
      </c>
      <c r="R269" s="22" t="str">
        <f>IF(L269="","None",L269)</f>
        <v>None</v>
      </c>
    </row>
    <row r="270" spans="1:18" x14ac:dyDescent="0.2">
      <c r="A270" s="22" t="s">
        <v>1149</v>
      </c>
      <c r="B270" s="23">
        <v>45149</v>
      </c>
      <c r="C270" s="22" t="s">
        <v>1150</v>
      </c>
      <c r="D270" s="22" t="s">
        <v>67</v>
      </c>
      <c r="E270" s="22">
        <v>2</v>
      </c>
      <c r="F270" s="24">
        <v>423.88</v>
      </c>
      <c r="G270" s="22" t="s">
        <v>1151</v>
      </c>
      <c r="H270" s="22" t="s">
        <v>77</v>
      </c>
      <c r="I270" s="22" t="s">
        <v>69</v>
      </c>
      <c r="J270" s="22" t="s">
        <v>1152</v>
      </c>
      <c r="K270" s="22">
        <v>7</v>
      </c>
      <c r="L270" s="22" t="s">
        <v>83</v>
      </c>
      <c r="M270" s="22" t="s">
        <v>90</v>
      </c>
      <c r="N270" s="24">
        <v>847.76</v>
      </c>
      <c r="O270" s="22">
        <f>YEAR(B270)</f>
        <v>2023</v>
      </c>
      <c r="P270" s="25">
        <f>DATE(YEAR(B270),MONTH(B270),1)</f>
        <v>45139</v>
      </c>
      <c r="Q270" s="22" t="str">
        <f>IF(N270&gt;Summary!$C$17,"Outlier","")</f>
        <v/>
      </c>
      <c r="R270" s="22" t="str">
        <f>IF(L270="","None",L270)</f>
        <v>SAVE10</v>
      </c>
    </row>
    <row r="271" spans="1:18" x14ac:dyDescent="0.2">
      <c r="A271" s="22" t="s">
        <v>1153</v>
      </c>
      <c r="B271" s="23">
        <v>45255</v>
      </c>
      <c r="C271" s="22" t="s">
        <v>1154</v>
      </c>
      <c r="D271" s="22" t="s">
        <v>64</v>
      </c>
      <c r="E271" s="22">
        <v>4</v>
      </c>
      <c r="F271" s="24">
        <v>663.67</v>
      </c>
      <c r="G271" s="22" t="s">
        <v>405</v>
      </c>
      <c r="H271" s="22" t="s">
        <v>76</v>
      </c>
      <c r="I271" s="22" t="s">
        <v>71</v>
      </c>
      <c r="J271" s="22" t="s">
        <v>1155</v>
      </c>
      <c r="K271" s="22">
        <v>7</v>
      </c>
      <c r="L271" s="22" t="s">
        <v>82</v>
      </c>
      <c r="M271" s="22" t="s">
        <v>88</v>
      </c>
      <c r="N271" s="24">
        <v>2654.68</v>
      </c>
      <c r="O271" s="22">
        <f>YEAR(B271)</f>
        <v>2023</v>
      </c>
      <c r="P271" s="25">
        <f>DATE(YEAR(B271),MONTH(B271),1)</f>
        <v>45231</v>
      </c>
      <c r="Q271" s="22" t="str">
        <f>IF(N271&gt;Summary!$C$17,"Outlier","")</f>
        <v/>
      </c>
      <c r="R271" s="22" t="str">
        <f>IF(L271="","None",L271)</f>
        <v>FREESHIP</v>
      </c>
    </row>
    <row r="272" spans="1:18" x14ac:dyDescent="0.2">
      <c r="A272" s="22" t="s">
        <v>1156</v>
      </c>
      <c r="B272" s="23">
        <v>45081</v>
      </c>
      <c r="C272" s="22" t="s">
        <v>1157</v>
      </c>
      <c r="D272" s="22" t="s">
        <v>62</v>
      </c>
      <c r="E272" s="22">
        <v>4</v>
      </c>
      <c r="F272" s="24">
        <v>309.91000000000003</v>
      </c>
      <c r="G272" s="22" t="s">
        <v>1158</v>
      </c>
      <c r="H272" s="22" t="s">
        <v>77</v>
      </c>
      <c r="I272" s="22" t="s">
        <v>70</v>
      </c>
      <c r="J272" s="22" t="s">
        <v>1159</v>
      </c>
      <c r="K272" s="22">
        <v>5</v>
      </c>
      <c r="L272" s="22" t="s">
        <v>84</v>
      </c>
      <c r="M272" s="22" t="s">
        <v>88</v>
      </c>
      <c r="N272" s="24">
        <v>1239.6400000000001</v>
      </c>
      <c r="O272" s="22">
        <f>YEAR(B272)</f>
        <v>2023</v>
      </c>
      <c r="P272" s="25">
        <f>DATE(YEAR(B272),MONTH(B272),1)</f>
        <v>45078</v>
      </c>
      <c r="Q272" s="22" t="str">
        <f>IF(N272&gt;Summary!$C$17,"Outlier","")</f>
        <v/>
      </c>
      <c r="R272" s="22" t="str">
        <f>IF(L272="","None",L272)</f>
        <v>WINTER15</v>
      </c>
    </row>
    <row r="273" spans="1:18" x14ac:dyDescent="0.2">
      <c r="A273" s="22" t="s">
        <v>1160</v>
      </c>
      <c r="B273" s="23">
        <v>45013</v>
      </c>
      <c r="C273" s="22" t="s">
        <v>1161</v>
      </c>
      <c r="D273" s="22" t="s">
        <v>65</v>
      </c>
      <c r="E273" s="22">
        <v>1</v>
      </c>
      <c r="F273" s="24">
        <v>542.07000000000005</v>
      </c>
      <c r="G273" s="22" t="s">
        <v>1162</v>
      </c>
      <c r="H273" s="22" t="s">
        <v>75</v>
      </c>
      <c r="I273" s="22" t="s">
        <v>70</v>
      </c>
      <c r="J273" s="22" t="s">
        <v>1163</v>
      </c>
      <c r="K273" s="22">
        <v>6</v>
      </c>
      <c r="L273" s="22" t="s">
        <v>84</v>
      </c>
      <c r="M273" s="22" t="s">
        <v>90</v>
      </c>
      <c r="N273" s="24">
        <v>542.07000000000005</v>
      </c>
      <c r="O273" s="22">
        <f>YEAR(B273)</f>
        <v>2023</v>
      </c>
      <c r="P273" s="25">
        <f>DATE(YEAR(B273),MONTH(B273),1)</f>
        <v>44986</v>
      </c>
      <c r="Q273" s="22" t="str">
        <f>IF(N273&gt;Summary!$C$17,"Outlier","")</f>
        <v/>
      </c>
      <c r="R273" s="22" t="str">
        <f>IF(L273="","None",L273)</f>
        <v>WINTER15</v>
      </c>
    </row>
    <row r="274" spans="1:18" x14ac:dyDescent="0.2">
      <c r="A274" s="22" t="s">
        <v>1164</v>
      </c>
      <c r="B274" s="23">
        <v>45188</v>
      </c>
      <c r="C274" s="22" t="s">
        <v>1165</v>
      </c>
      <c r="D274" s="22" t="s">
        <v>61</v>
      </c>
      <c r="E274" s="22">
        <v>2</v>
      </c>
      <c r="F274" s="24">
        <v>399.32</v>
      </c>
      <c r="G274" s="22" t="s">
        <v>1166</v>
      </c>
      <c r="H274" s="22" t="s">
        <v>79</v>
      </c>
      <c r="I274" s="22" t="s">
        <v>71</v>
      </c>
      <c r="J274" s="22" t="s">
        <v>1167</v>
      </c>
      <c r="K274" s="22">
        <v>6</v>
      </c>
      <c r="L274" s="22" t="s">
        <v>84</v>
      </c>
      <c r="M274" s="22" t="s">
        <v>89</v>
      </c>
      <c r="N274" s="24">
        <v>798.64</v>
      </c>
      <c r="O274" s="22">
        <f>YEAR(B274)</f>
        <v>2023</v>
      </c>
      <c r="P274" s="25">
        <f>DATE(YEAR(B274),MONTH(B274),1)</f>
        <v>45170</v>
      </c>
      <c r="Q274" s="22" t="str">
        <f>IF(N274&gt;Summary!$C$17,"Outlier","")</f>
        <v/>
      </c>
      <c r="R274" s="22" t="str">
        <f>IF(L274="","None",L274)</f>
        <v>WINTER15</v>
      </c>
    </row>
    <row r="275" spans="1:18" x14ac:dyDescent="0.2">
      <c r="A275" s="22" t="s">
        <v>1168</v>
      </c>
      <c r="B275" s="23">
        <v>45592</v>
      </c>
      <c r="C275" s="22" t="s">
        <v>1169</v>
      </c>
      <c r="D275" s="22" t="s">
        <v>64</v>
      </c>
      <c r="E275" s="22">
        <v>2</v>
      </c>
      <c r="F275" s="24">
        <v>238.25</v>
      </c>
      <c r="G275" s="22" t="s">
        <v>1170</v>
      </c>
      <c r="H275" s="22" t="s">
        <v>79</v>
      </c>
      <c r="I275" s="22" t="s">
        <v>73</v>
      </c>
      <c r="J275" s="22" t="s">
        <v>1171</v>
      </c>
      <c r="K275" s="22">
        <v>7</v>
      </c>
      <c r="L275" s="22" t="s">
        <v>82</v>
      </c>
      <c r="M275" s="22" t="s">
        <v>86</v>
      </c>
      <c r="N275" s="24">
        <v>476.5</v>
      </c>
      <c r="O275" s="22">
        <f>YEAR(B275)</f>
        <v>2024</v>
      </c>
      <c r="P275" s="25">
        <f>DATE(YEAR(B275),MONTH(B275),1)</f>
        <v>45566</v>
      </c>
      <c r="Q275" s="22" t="str">
        <f>IF(N275&gt;Summary!$C$17,"Outlier","")</f>
        <v/>
      </c>
      <c r="R275" s="22" t="str">
        <f>IF(L275="","None",L275)</f>
        <v>FREESHIP</v>
      </c>
    </row>
    <row r="276" spans="1:18" x14ac:dyDescent="0.2">
      <c r="A276" s="22" t="s">
        <v>1172</v>
      </c>
      <c r="B276" s="23">
        <v>44961</v>
      </c>
      <c r="C276" s="22" t="s">
        <v>1173</v>
      </c>
      <c r="D276" s="22" t="s">
        <v>67</v>
      </c>
      <c r="E276" s="22">
        <v>2</v>
      </c>
      <c r="F276" s="24">
        <v>182.4</v>
      </c>
      <c r="G276" s="22" t="s">
        <v>1174</v>
      </c>
      <c r="H276" s="22" t="s">
        <v>78</v>
      </c>
      <c r="I276" s="22" t="s">
        <v>73</v>
      </c>
      <c r="J276" s="22" t="s">
        <v>1175</v>
      </c>
      <c r="K276" s="22">
        <v>5</v>
      </c>
      <c r="L276" s="22" t="s">
        <v>83</v>
      </c>
      <c r="M276" s="22" t="s">
        <v>90</v>
      </c>
      <c r="N276" s="24">
        <v>364.8</v>
      </c>
      <c r="O276" s="22">
        <f>YEAR(B276)</f>
        <v>2023</v>
      </c>
      <c r="P276" s="25">
        <f>DATE(YEAR(B276),MONTH(B276),1)</f>
        <v>44958</v>
      </c>
      <c r="Q276" s="22" t="str">
        <f>IF(N276&gt;Summary!$C$17,"Outlier","")</f>
        <v/>
      </c>
      <c r="R276" s="22" t="str">
        <f>IF(L276="","None",L276)</f>
        <v>SAVE10</v>
      </c>
    </row>
    <row r="277" spans="1:18" x14ac:dyDescent="0.2">
      <c r="A277" s="22" t="s">
        <v>1176</v>
      </c>
      <c r="B277" s="23">
        <v>45234</v>
      </c>
      <c r="C277" s="22" t="s">
        <v>1177</v>
      </c>
      <c r="D277" s="22" t="s">
        <v>61</v>
      </c>
      <c r="E277" s="22">
        <v>2</v>
      </c>
      <c r="F277" s="24">
        <v>65.069999999999993</v>
      </c>
      <c r="G277" s="22" t="s">
        <v>1178</v>
      </c>
      <c r="H277" s="22" t="s">
        <v>76</v>
      </c>
      <c r="I277" s="22" t="s">
        <v>73</v>
      </c>
      <c r="J277" s="22" t="s">
        <v>1179</v>
      </c>
      <c r="K277" s="22">
        <v>4</v>
      </c>
      <c r="L277" s="22" t="s">
        <v>83</v>
      </c>
      <c r="M277" s="22" t="s">
        <v>88</v>
      </c>
      <c r="N277" s="24">
        <v>130.13999999999999</v>
      </c>
      <c r="O277" s="22">
        <f>YEAR(B277)</f>
        <v>2023</v>
      </c>
      <c r="P277" s="25">
        <f>DATE(YEAR(B277),MONTH(B277),1)</f>
        <v>45231</v>
      </c>
      <c r="Q277" s="22" t="str">
        <f>IF(N277&gt;Summary!$C$17,"Outlier","")</f>
        <v/>
      </c>
      <c r="R277" s="22" t="str">
        <f>IF(L277="","None",L277)</f>
        <v>SAVE10</v>
      </c>
    </row>
    <row r="278" spans="1:18" x14ac:dyDescent="0.2">
      <c r="A278" s="22" t="s">
        <v>1180</v>
      </c>
      <c r="B278" s="23">
        <v>45745</v>
      </c>
      <c r="C278" s="22" t="s">
        <v>1181</v>
      </c>
      <c r="D278" s="22" t="s">
        <v>62</v>
      </c>
      <c r="E278" s="22">
        <v>2</v>
      </c>
      <c r="F278" s="24">
        <v>600.57000000000005</v>
      </c>
      <c r="G278" s="22" t="s">
        <v>1182</v>
      </c>
      <c r="H278" s="22" t="s">
        <v>77</v>
      </c>
      <c r="I278" s="22" t="s">
        <v>72</v>
      </c>
      <c r="J278" s="22" t="s">
        <v>1183</v>
      </c>
      <c r="K278" s="22">
        <v>3</v>
      </c>
      <c r="L278" s="22" t="s">
        <v>84</v>
      </c>
      <c r="M278" s="22" t="s">
        <v>89</v>
      </c>
      <c r="N278" s="24">
        <v>1201.1400000000001</v>
      </c>
      <c r="O278" s="22">
        <f>YEAR(B278)</f>
        <v>2025</v>
      </c>
      <c r="P278" s="25">
        <f>DATE(YEAR(B278),MONTH(B278),1)</f>
        <v>45717</v>
      </c>
      <c r="Q278" s="22" t="str">
        <f>IF(N278&gt;Summary!$C$17,"Outlier","")</f>
        <v/>
      </c>
      <c r="R278" s="22" t="str">
        <f>IF(L278="","None",L278)</f>
        <v>WINTER15</v>
      </c>
    </row>
    <row r="279" spans="1:18" x14ac:dyDescent="0.2">
      <c r="A279" s="22" t="s">
        <v>1184</v>
      </c>
      <c r="B279" s="23">
        <v>45544</v>
      </c>
      <c r="C279" s="22" t="s">
        <v>1185</v>
      </c>
      <c r="D279" s="22" t="s">
        <v>61</v>
      </c>
      <c r="E279" s="22">
        <v>5</v>
      </c>
      <c r="F279" s="24">
        <v>90.92</v>
      </c>
      <c r="G279" s="22" t="s">
        <v>1186</v>
      </c>
      <c r="H279" s="22" t="s">
        <v>76</v>
      </c>
      <c r="I279" s="22" t="s">
        <v>69</v>
      </c>
      <c r="J279" s="22" t="s">
        <v>1187</v>
      </c>
      <c r="K279" s="22">
        <v>9</v>
      </c>
      <c r="L279" s="22" t="s">
        <v>83</v>
      </c>
      <c r="M279" s="22" t="s">
        <v>87</v>
      </c>
      <c r="N279" s="24">
        <v>454.6</v>
      </c>
      <c r="O279" s="22">
        <f>YEAR(B279)</f>
        <v>2024</v>
      </c>
      <c r="P279" s="25">
        <f>DATE(YEAR(B279),MONTH(B279),1)</f>
        <v>45536</v>
      </c>
      <c r="Q279" s="22" t="str">
        <f>IF(N279&gt;Summary!$C$17,"Outlier","")</f>
        <v/>
      </c>
      <c r="R279" s="22" t="str">
        <f>IF(L279="","None",L279)</f>
        <v>SAVE10</v>
      </c>
    </row>
    <row r="280" spans="1:18" x14ac:dyDescent="0.2">
      <c r="A280" s="22" t="s">
        <v>1188</v>
      </c>
      <c r="B280" s="23">
        <v>45614</v>
      </c>
      <c r="C280" s="22" t="s">
        <v>1189</v>
      </c>
      <c r="D280" s="22" t="s">
        <v>63</v>
      </c>
      <c r="E280" s="22">
        <v>5</v>
      </c>
      <c r="F280" s="24">
        <v>362.46</v>
      </c>
      <c r="G280" s="22" t="s">
        <v>1190</v>
      </c>
      <c r="H280" s="22" t="s">
        <v>75</v>
      </c>
      <c r="I280" s="22" t="s">
        <v>69</v>
      </c>
      <c r="J280" s="22" t="s">
        <v>1191</v>
      </c>
      <c r="K280" s="22">
        <v>6</v>
      </c>
      <c r="L280" s="22" t="s">
        <v>82</v>
      </c>
      <c r="M280" s="22" t="s">
        <v>89</v>
      </c>
      <c r="N280" s="24">
        <v>1812.3</v>
      </c>
      <c r="O280" s="22">
        <f>YEAR(B280)</f>
        <v>2024</v>
      </c>
      <c r="P280" s="25">
        <f>DATE(YEAR(B280),MONTH(B280),1)</f>
        <v>45597</v>
      </c>
      <c r="Q280" s="22" t="str">
        <f>IF(N280&gt;Summary!$C$17,"Outlier","")</f>
        <v/>
      </c>
      <c r="R280" s="22" t="str">
        <f>IF(L280="","None",L280)</f>
        <v>FREESHIP</v>
      </c>
    </row>
    <row r="281" spans="1:18" x14ac:dyDescent="0.2">
      <c r="A281" s="22" t="s">
        <v>1192</v>
      </c>
      <c r="B281" s="23">
        <v>45219</v>
      </c>
      <c r="C281" s="22" t="s">
        <v>1193</v>
      </c>
      <c r="D281" s="22" t="s">
        <v>61</v>
      </c>
      <c r="E281" s="22">
        <v>3</v>
      </c>
      <c r="F281" s="24">
        <v>55.01</v>
      </c>
      <c r="G281" s="22" t="s">
        <v>1194</v>
      </c>
      <c r="H281" s="22" t="s">
        <v>79</v>
      </c>
      <c r="I281" s="22" t="s">
        <v>71</v>
      </c>
      <c r="J281" s="22" t="s">
        <v>1195</v>
      </c>
      <c r="K281" s="22">
        <v>7</v>
      </c>
      <c r="L281" s="22" t="s">
        <v>84</v>
      </c>
      <c r="M281" s="22" t="s">
        <v>86</v>
      </c>
      <c r="N281" s="24">
        <v>165.03</v>
      </c>
      <c r="O281" s="22">
        <f>YEAR(B281)</f>
        <v>2023</v>
      </c>
      <c r="P281" s="25">
        <f>DATE(YEAR(B281),MONTH(B281),1)</f>
        <v>45200</v>
      </c>
      <c r="Q281" s="22" t="str">
        <f>IF(N281&gt;Summary!$C$17,"Outlier","")</f>
        <v/>
      </c>
      <c r="R281" s="22" t="str">
        <f>IF(L281="","None",L281)</f>
        <v>WINTER15</v>
      </c>
    </row>
    <row r="282" spans="1:18" x14ac:dyDescent="0.2">
      <c r="A282" s="22" t="s">
        <v>1196</v>
      </c>
      <c r="B282" s="23">
        <v>45012</v>
      </c>
      <c r="C282" s="22" t="s">
        <v>1197</v>
      </c>
      <c r="D282" s="22" t="s">
        <v>64</v>
      </c>
      <c r="E282" s="22">
        <v>3</v>
      </c>
      <c r="F282" s="24">
        <v>404.62</v>
      </c>
      <c r="G282" s="22" t="s">
        <v>1198</v>
      </c>
      <c r="H282" s="22" t="s">
        <v>78</v>
      </c>
      <c r="I282" s="22" t="s">
        <v>69</v>
      </c>
      <c r="J282" s="22" t="s">
        <v>1199</v>
      </c>
      <c r="K282" s="22">
        <v>6</v>
      </c>
      <c r="L282" s="22" t="s">
        <v>82</v>
      </c>
      <c r="M282" s="22" t="s">
        <v>89</v>
      </c>
      <c r="N282" s="24">
        <v>1213.8599999999999</v>
      </c>
      <c r="O282" s="22">
        <f>YEAR(B282)</f>
        <v>2023</v>
      </c>
      <c r="P282" s="25">
        <f>DATE(YEAR(B282),MONTH(B282),1)</f>
        <v>44986</v>
      </c>
      <c r="Q282" s="22" t="str">
        <f>IF(N282&gt;Summary!$C$17,"Outlier","")</f>
        <v/>
      </c>
      <c r="R282" s="22" t="str">
        <f>IF(L282="","None",L282)</f>
        <v>FREESHIP</v>
      </c>
    </row>
    <row r="283" spans="1:18" x14ac:dyDescent="0.2">
      <c r="A283" s="22" t="s">
        <v>1200</v>
      </c>
      <c r="B283" s="23">
        <v>45134</v>
      </c>
      <c r="C283" s="22" t="s">
        <v>1201</v>
      </c>
      <c r="D283" s="22" t="s">
        <v>66</v>
      </c>
      <c r="E283" s="22">
        <v>4</v>
      </c>
      <c r="F283" s="24">
        <v>654.79</v>
      </c>
      <c r="G283" s="22" t="s">
        <v>1202</v>
      </c>
      <c r="H283" s="22" t="s">
        <v>75</v>
      </c>
      <c r="I283" s="22" t="s">
        <v>71</v>
      </c>
      <c r="J283" s="22" t="s">
        <v>1203</v>
      </c>
      <c r="K283" s="22">
        <v>9</v>
      </c>
      <c r="L283" s="22"/>
      <c r="M283" s="22" t="s">
        <v>90</v>
      </c>
      <c r="N283" s="24">
        <v>2619.16</v>
      </c>
      <c r="O283" s="22">
        <f>YEAR(B283)</f>
        <v>2023</v>
      </c>
      <c r="P283" s="25">
        <f>DATE(YEAR(B283),MONTH(B283),1)</f>
        <v>45108</v>
      </c>
      <c r="Q283" s="22" t="str">
        <f>IF(N283&gt;Summary!$C$17,"Outlier","")</f>
        <v/>
      </c>
      <c r="R283" s="22" t="str">
        <f>IF(L283="","None",L283)</f>
        <v>None</v>
      </c>
    </row>
    <row r="284" spans="1:18" x14ac:dyDescent="0.2">
      <c r="A284" s="22" t="s">
        <v>1204</v>
      </c>
      <c r="B284" s="23">
        <v>45769</v>
      </c>
      <c r="C284" s="22" t="s">
        <v>1205</v>
      </c>
      <c r="D284" s="22" t="s">
        <v>62</v>
      </c>
      <c r="E284" s="22">
        <v>4</v>
      </c>
      <c r="F284" s="24">
        <v>637.79</v>
      </c>
      <c r="G284" s="22" t="s">
        <v>1206</v>
      </c>
      <c r="H284" s="22" t="s">
        <v>78</v>
      </c>
      <c r="I284" s="22" t="s">
        <v>73</v>
      </c>
      <c r="J284" s="22" t="s">
        <v>1207</v>
      </c>
      <c r="K284" s="22">
        <v>9</v>
      </c>
      <c r="L284" s="22" t="s">
        <v>82</v>
      </c>
      <c r="M284" s="22" t="s">
        <v>88</v>
      </c>
      <c r="N284" s="24">
        <v>2551.16</v>
      </c>
      <c r="O284" s="22">
        <f>YEAR(B284)</f>
        <v>2025</v>
      </c>
      <c r="P284" s="25">
        <f>DATE(YEAR(B284),MONTH(B284),1)</f>
        <v>45748</v>
      </c>
      <c r="Q284" s="22" t="str">
        <f>IF(N284&gt;Summary!$C$17,"Outlier","")</f>
        <v/>
      </c>
      <c r="R284" s="22" t="str">
        <f>IF(L284="","None",L284)</f>
        <v>FREESHIP</v>
      </c>
    </row>
    <row r="285" spans="1:18" x14ac:dyDescent="0.2">
      <c r="A285" s="22" t="s">
        <v>1208</v>
      </c>
      <c r="B285" s="23">
        <v>45716</v>
      </c>
      <c r="C285" s="22" t="s">
        <v>1209</v>
      </c>
      <c r="D285" s="22" t="s">
        <v>63</v>
      </c>
      <c r="E285" s="22">
        <v>4</v>
      </c>
      <c r="F285" s="24">
        <v>540.33000000000004</v>
      </c>
      <c r="G285" s="22" t="s">
        <v>1210</v>
      </c>
      <c r="H285" s="22" t="s">
        <v>75</v>
      </c>
      <c r="I285" s="22" t="s">
        <v>70</v>
      </c>
      <c r="J285" s="22" t="s">
        <v>1211</v>
      </c>
      <c r="K285" s="22">
        <v>6</v>
      </c>
      <c r="L285" s="22"/>
      <c r="M285" s="22" t="s">
        <v>88</v>
      </c>
      <c r="N285" s="24">
        <v>2161.3200000000002</v>
      </c>
      <c r="O285" s="22">
        <f>YEAR(B285)</f>
        <v>2025</v>
      </c>
      <c r="P285" s="25">
        <f>DATE(YEAR(B285),MONTH(B285),1)</f>
        <v>45689</v>
      </c>
      <c r="Q285" s="22" t="str">
        <f>IF(N285&gt;Summary!$C$17,"Outlier","")</f>
        <v/>
      </c>
      <c r="R285" s="22" t="str">
        <f>IF(L285="","None",L285)</f>
        <v>None</v>
      </c>
    </row>
    <row r="286" spans="1:18" x14ac:dyDescent="0.2">
      <c r="A286" s="22" t="s">
        <v>1212</v>
      </c>
      <c r="B286" s="23">
        <v>44973</v>
      </c>
      <c r="C286" s="22" t="s">
        <v>1213</v>
      </c>
      <c r="D286" s="22" t="s">
        <v>63</v>
      </c>
      <c r="E286" s="22">
        <v>5</v>
      </c>
      <c r="F286" s="24">
        <v>208.17</v>
      </c>
      <c r="G286" s="22" t="s">
        <v>1214</v>
      </c>
      <c r="H286" s="22" t="s">
        <v>76</v>
      </c>
      <c r="I286" s="22" t="s">
        <v>72</v>
      </c>
      <c r="J286" s="22" t="s">
        <v>1215</v>
      </c>
      <c r="K286" s="22">
        <v>6</v>
      </c>
      <c r="L286" s="22" t="s">
        <v>83</v>
      </c>
      <c r="M286" s="22" t="s">
        <v>87</v>
      </c>
      <c r="N286" s="24">
        <v>1040.8499999999999</v>
      </c>
      <c r="O286" s="22">
        <f>YEAR(B286)</f>
        <v>2023</v>
      </c>
      <c r="P286" s="25">
        <f>DATE(YEAR(B286),MONTH(B286),1)</f>
        <v>44958</v>
      </c>
      <c r="Q286" s="22" t="str">
        <f>IF(N286&gt;Summary!$C$17,"Outlier","")</f>
        <v/>
      </c>
      <c r="R286" s="22" t="str">
        <f>IF(L286="","None",L286)</f>
        <v>SAVE10</v>
      </c>
    </row>
    <row r="287" spans="1:18" x14ac:dyDescent="0.2">
      <c r="A287" s="22" t="s">
        <v>1216</v>
      </c>
      <c r="B287" s="23">
        <v>45818</v>
      </c>
      <c r="C287" s="22" t="s">
        <v>1217</v>
      </c>
      <c r="D287" s="22" t="s">
        <v>67</v>
      </c>
      <c r="E287" s="22">
        <v>1</v>
      </c>
      <c r="F287" s="24">
        <v>338.31</v>
      </c>
      <c r="G287" s="22" t="s">
        <v>1170</v>
      </c>
      <c r="H287" s="22" t="s">
        <v>79</v>
      </c>
      <c r="I287" s="22" t="s">
        <v>69</v>
      </c>
      <c r="J287" s="22" t="s">
        <v>1218</v>
      </c>
      <c r="K287" s="22">
        <v>3</v>
      </c>
      <c r="L287" s="22"/>
      <c r="M287" s="22" t="s">
        <v>88</v>
      </c>
      <c r="N287" s="24">
        <v>338.31</v>
      </c>
      <c r="O287" s="22">
        <f>YEAR(B287)</f>
        <v>2025</v>
      </c>
      <c r="P287" s="25">
        <f>DATE(YEAR(B287),MONTH(B287),1)</f>
        <v>45809</v>
      </c>
      <c r="Q287" s="22" t="str">
        <f>IF(N287&gt;Summary!$C$17,"Outlier","")</f>
        <v/>
      </c>
      <c r="R287" s="22" t="str">
        <f>IF(L287="","None",L287)</f>
        <v>None</v>
      </c>
    </row>
    <row r="288" spans="1:18" x14ac:dyDescent="0.2">
      <c r="A288" s="22" t="s">
        <v>1219</v>
      </c>
      <c r="B288" s="23">
        <v>45754</v>
      </c>
      <c r="C288" s="22" t="s">
        <v>1220</v>
      </c>
      <c r="D288" s="22" t="s">
        <v>65</v>
      </c>
      <c r="E288" s="22">
        <v>3</v>
      </c>
      <c r="F288" s="24">
        <v>139.44999999999999</v>
      </c>
      <c r="G288" s="22" t="s">
        <v>587</v>
      </c>
      <c r="H288" s="22" t="s">
        <v>78</v>
      </c>
      <c r="I288" s="22" t="s">
        <v>72</v>
      </c>
      <c r="J288" s="22" t="s">
        <v>1221</v>
      </c>
      <c r="K288" s="22">
        <v>8</v>
      </c>
      <c r="L288" s="22" t="s">
        <v>84</v>
      </c>
      <c r="M288" s="22" t="s">
        <v>88</v>
      </c>
      <c r="N288" s="24">
        <v>418.35</v>
      </c>
      <c r="O288" s="22">
        <f>YEAR(B288)</f>
        <v>2025</v>
      </c>
      <c r="P288" s="25">
        <f>DATE(YEAR(B288),MONTH(B288),1)</f>
        <v>45748</v>
      </c>
      <c r="Q288" s="22" t="str">
        <f>IF(N288&gt;Summary!$C$17,"Outlier","")</f>
        <v/>
      </c>
      <c r="R288" s="22" t="str">
        <f>IF(L288="","None",L288)</f>
        <v>WINTER15</v>
      </c>
    </row>
    <row r="289" spans="1:18" x14ac:dyDescent="0.2">
      <c r="A289" s="22" t="s">
        <v>1222</v>
      </c>
      <c r="B289" s="23">
        <v>45254</v>
      </c>
      <c r="C289" s="22" t="s">
        <v>1223</v>
      </c>
      <c r="D289" s="22" t="s">
        <v>61</v>
      </c>
      <c r="E289" s="22">
        <v>4</v>
      </c>
      <c r="F289" s="24">
        <v>655.17999999999995</v>
      </c>
      <c r="G289" s="22" t="s">
        <v>1224</v>
      </c>
      <c r="H289" s="22" t="s">
        <v>79</v>
      </c>
      <c r="I289" s="22" t="s">
        <v>70</v>
      </c>
      <c r="J289" s="22" t="s">
        <v>1225</v>
      </c>
      <c r="K289" s="22">
        <v>5</v>
      </c>
      <c r="L289" s="22"/>
      <c r="M289" s="22" t="s">
        <v>87</v>
      </c>
      <c r="N289" s="24">
        <v>2620.7199999999998</v>
      </c>
      <c r="O289" s="22">
        <f>YEAR(B289)</f>
        <v>2023</v>
      </c>
      <c r="P289" s="25">
        <f>DATE(YEAR(B289),MONTH(B289),1)</f>
        <v>45231</v>
      </c>
      <c r="Q289" s="22" t="str">
        <f>IF(N289&gt;Summary!$C$17,"Outlier","")</f>
        <v/>
      </c>
      <c r="R289" s="22" t="str">
        <f>IF(L289="","None",L289)</f>
        <v>None</v>
      </c>
    </row>
    <row r="290" spans="1:18" x14ac:dyDescent="0.2">
      <c r="A290" s="22" t="s">
        <v>1226</v>
      </c>
      <c r="B290" s="23">
        <v>44997</v>
      </c>
      <c r="C290" s="22" t="s">
        <v>1227</v>
      </c>
      <c r="D290" s="22" t="s">
        <v>63</v>
      </c>
      <c r="E290" s="22">
        <v>4</v>
      </c>
      <c r="F290" s="24">
        <v>512.75</v>
      </c>
      <c r="G290" s="22" t="s">
        <v>1228</v>
      </c>
      <c r="H290" s="22" t="s">
        <v>77</v>
      </c>
      <c r="I290" s="22" t="s">
        <v>72</v>
      </c>
      <c r="J290" s="22" t="s">
        <v>1229</v>
      </c>
      <c r="K290" s="22">
        <v>8</v>
      </c>
      <c r="L290" s="22" t="s">
        <v>84</v>
      </c>
      <c r="M290" s="22" t="s">
        <v>88</v>
      </c>
      <c r="N290" s="24">
        <v>2051</v>
      </c>
      <c r="O290" s="22">
        <f>YEAR(B290)</f>
        <v>2023</v>
      </c>
      <c r="P290" s="25">
        <f>DATE(YEAR(B290),MONTH(B290),1)</f>
        <v>44986</v>
      </c>
      <c r="Q290" s="22" t="str">
        <f>IF(N290&gt;Summary!$C$17,"Outlier","")</f>
        <v/>
      </c>
      <c r="R290" s="22" t="str">
        <f>IF(L290="","None",L290)</f>
        <v>WINTER15</v>
      </c>
    </row>
    <row r="291" spans="1:18" x14ac:dyDescent="0.2">
      <c r="A291" s="22" t="s">
        <v>1230</v>
      </c>
      <c r="B291" s="23">
        <v>45133</v>
      </c>
      <c r="C291" s="22" t="s">
        <v>1231</v>
      </c>
      <c r="D291" s="22" t="s">
        <v>61</v>
      </c>
      <c r="E291" s="22">
        <v>4</v>
      </c>
      <c r="F291" s="24">
        <v>160.49</v>
      </c>
      <c r="G291" s="22" t="s">
        <v>159</v>
      </c>
      <c r="H291" s="22" t="s">
        <v>76</v>
      </c>
      <c r="I291" s="22" t="s">
        <v>70</v>
      </c>
      <c r="J291" s="22" t="s">
        <v>1232</v>
      </c>
      <c r="K291" s="22">
        <v>8</v>
      </c>
      <c r="L291" s="22" t="s">
        <v>84</v>
      </c>
      <c r="M291" s="22" t="s">
        <v>90</v>
      </c>
      <c r="N291" s="24">
        <v>641.96</v>
      </c>
      <c r="O291" s="22">
        <f>YEAR(B291)</f>
        <v>2023</v>
      </c>
      <c r="P291" s="25">
        <f>DATE(YEAR(B291),MONTH(B291),1)</f>
        <v>45108</v>
      </c>
      <c r="Q291" s="22" t="str">
        <f>IF(N291&gt;Summary!$C$17,"Outlier","")</f>
        <v/>
      </c>
      <c r="R291" s="22" t="str">
        <f>IF(L291="","None",L291)</f>
        <v>WINTER15</v>
      </c>
    </row>
    <row r="292" spans="1:18" x14ac:dyDescent="0.2">
      <c r="A292" s="22" t="s">
        <v>1233</v>
      </c>
      <c r="B292" s="23">
        <v>45051</v>
      </c>
      <c r="C292" s="22" t="s">
        <v>1234</v>
      </c>
      <c r="D292" s="22" t="s">
        <v>61</v>
      </c>
      <c r="E292" s="22">
        <v>3</v>
      </c>
      <c r="F292" s="24">
        <v>99.9</v>
      </c>
      <c r="G292" s="22" t="s">
        <v>832</v>
      </c>
      <c r="H292" s="22" t="s">
        <v>75</v>
      </c>
      <c r="I292" s="22" t="s">
        <v>69</v>
      </c>
      <c r="J292" s="22" t="s">
        <v>1235</v>
      </c>
      <c r="K292" s="22">
        <v>8</v>
      </c>
      <c r="L292" s="22" t="s">
        <v>82</v>
      </c>
      <c r="M292" s="22" t="s">
        <v>87</v>
      </c>
      <c r="N292" s="24">
        <v>299.7</v>
      </c>
      <c r="O292" s="22">
        <f>YEAR(B292)</f>
        <v>2023</v>
      </c>
      <c r="P292" s="25">
        <f>DATE(YEAR(B292),MONTH(B292),1)</f>
        <v>45047</v>
      </c>
      <c r="Q292" s="22" t="str">
        <f>IF(N292&gt;Summary!$C$17,"Outlier","")</f>
        <v/>
      </c>
      <c r="R292" s="22" t="str">
        <f>IF(L292="","None",L292)</f>
        <v>FREESHIP</v>
      </c>
    </row>
    <row r="293" spans="1:18" x14ac:dyDescent="0.2">
      <c r="A293" s="22" t="s">
        <v>1236</v>
      </c>
      <c r="B293" s="23">
        <v>45424</v>
      </c>
      <c r="C293" s="22" t="s">
        <v>1237</v>
      </c>
      <c r="D293" s="22" t="s">
        <v>67</v>
      </c>
      <c r="E293" s="22">
        <v>2</v>
      </c>
      <c r="F293" s="24">
        <v>345.01</v>
      </c>
      <c r="G293" s="22" t="s">
        <v>1238</v>
      </c>
      <c r="H293" s="22" t="s">
        <v>76</v>
      </c>
      <c r="I293" s="22" t="s">
        <v>69</v>
      </c>
      <c r="J293" s="22" t="s">
        <v>1239</v>
      </c>
      <c r="K293" s="22">
        <v>6</v>
      </c>
      <c r="L293" s="22" t="s">
        <v>82</v>
      </c>
      <c r="M293" s="22" t="s">
        <v>88</v>
      </c>
      <c r="N293" s="24">
        <v>690.02</v>
      </c>
      <c r="O293" s="22">
        <f>YEAR(B293)</f>
        <v>2024</v>
      </c>
      <c r="P293" s="25">
        <f>DATE(YEAR(B293),MONTH(B293),1)</f>
        <v>45413</v>
      </c>
      <c r="Q293" s="22" t="str">
        <f>IF(N293&gt;Summary!$C$17,"Outlier","")</f>
        <v/>
      </c>
      <c r="R293" s="22" t="str">
        <f>IF(L293="","None",L293)</f>
        <v>FREESHIP</v>
      </c>
    </row>
    <row r="294" spans="1:18" x14ac:dyDescent="0.2">
      <c r="A294" s="22" t="s">
        <v>1240</v>
      </c>
      <c r="B294" s="23">
        <v>45672</v>
      </c>
      <c r="C294" s="22" t="s">
        <v>1241</v>
      </c>
      <c r="D294" s="22" t="s">
        <v>65</v>
      </c>
      <c r="E294" s="22">
        <v>1</v>
      </c>
      <c r="F294" s="24">
        <v>65.95</v>
      </c>
      <c r="G294" s="22" t="s">
        <v>935</v>
      </c>
      <c r="H294" s="22" t="s">
        <v>76</v>
      </c>
      <c r="I294" s="22" t="s">
        <v>69</v>
      </c>
      <c r="J294" s="22" t="s">
        <v>1242</v>
      </c>
      <c r="K294" s="22">
        <v>5</v>
      </c>
      <c r="L294" s="22"/>
      <c r="M294" s="22" t="s">
        <v>87</v>
      </c>
      <c r="N294" s="24">
        <v>65.95</v>
      </c>
      <c r="O294" s="22">
        <f>YEAR(B294)</f>
        <v>2025</v>
      </c>
      <c r="P294" s="25">
        <f>DATE(YEAR(B294),MONTH(B294),1)</f>
        <v>45658</v>
      </c>
      <c r="Q294" s="22" t="str">
        <f>IF(N294&gt;Summary!$C$17,"Outlier","")</f>
        <v/>
      </c>
      <c r="R294" s="22" t="str">
        <f>IF(L294="","None",L294)</f>
        <v>None</v>
      </c>
    </row>
    <row r="295" spans="1:18" x14ac:dyDescent="0.2">
      <c r="A295" s="22" t="s">
        <v>1243</v>
      </c>
      <c r="B295" s="23">
        <v>44973</v>
      </c>
      <c r="C295" s="22" t="s">
        <v>1244</v>
      </c>
      <c r="D295" s="22" t="s">
        <v>64</v>
      </c>
      <c r="E295" s="22">
        <v>4</v>
      </c>
      <c r="F295" s="24">
        <v>463.04</v>
      </c>
      <c r="G295" s="22" t="s">
        <v>1245</v>
      </c>
      <c r="H295" s="22" t="s">
        <v>78</v>
      </c>
      <c r="I295" s="22" t="s">
        <v>72</v>
      </c>
      <c r="J295" s="22" t="s">
        <v>1246</v>
      </c>
      <c r="K295" s="22">
        <v>9</v>
      </c>
      <c r="L295" s="22"/>
      <c r="M295" s="22" t="s">
        <v>89</v>
      </c>
      <c r="N295" s="24">
        <v>1852.16</v>
      </c>
      <c r="O295" s="22">
        <f>YEAR(B295)</f>
        <v>2023</v>
      </c>
      <c r="P295" s="25">
        <f>DATE(YEAR(B295),MONTH(B295),1)</f>
        <v>44958</v>
      </c>
      <c r="Q295" s="22" t="str">
        <f>IF(N295&gt;Summary!$C$17,"Outlier","")</f>
        <v/>
      </c>
      <c r="R295" s="22" t="str">
        <f>IF(L295="","None",L295)</f>
        <v>None</v>
      </c>
    </row>
    <row r="296" spans="1:18" x14ac:dyDescent="0.2">
      <c r="A296" s="22" t="s">
        <v>1247</v>
      </c>
      <c r="B296" s="23">
        <v>45748</v>
      </c>
      <c r="C296" s="22" t="s">
        <v>1248</v>
      </c>
      <c r="D296" s="22" t="s">
        <v>67</v>
      </c>
      <c r="E296" s="22">
        <v>2</v>
      </c>
      <c r="F296" s="24">
        <v>297.70999999999998</v>
      </c>
      <c r="G296" s="22" t="s">
        <v>1249</v>
      </c>
      <c r="H296" s="22" t="s">
        <v>79</v>
      </c>
      <c r="I296" s="22" t="s">
        <v>70</v>
      </c>
      <c r="J296" s="22" t="s">
        <v>1250</v>
      </c>
      <c r="K296" s="22">
        <v>7</v>
      </c>
      <c r="L296" s="22" t="s">
        <v>83</v>
      </c>
      <c r="M296" s="22" t="s">
        <v>90</v>
      </c>
      <c r="N296" s="24">
        <v>595.41999999999996</v>
      </c>
      <c r="O296" s="22">
        <f>YEAR(B296)</f>
        <v>2025</v>
      </c>
      <c r="P296" s="25">
        <f>DATE(YEAR(B296),MONTH(B296),1)</f>
        <v>45748</v>
      </c>
      <c r="Q296" s="22" t="str">
        <f>IF(N296&gt;Summary!$C$17,"Outlier","")</f>
        <v/>
      </c>
      <c r="R296" s="22" t="str">
        <f>IF(L296="","None",L296)</f>
        <v>SAVE10</v>
      </c>
    </row>
    <row r="297" spans="1:18" x14ac:dyDescent="0.2">
      <c r="A297" s="22" t="s">
        <v>1251</v>
      </c>
      <c r="B297" s="23">
        <v>44951</v>
      </c>
      <c r="C297" s="22" t="s">
        <v>1252</v>
      </c>
      <c r="D297" s="22" t="s">
        <v>62</v>
      </c>
      <c r="E297" s="22">
        <v>5</v>
      </c>
      <c r="F297" s="24">
        <v>107.48</v>
      </c>
      <c r="G297" s="22" t="s">
        <v>1253</v>
      </c>
      <c r="H297" s="22" t="s">
        <v>77</v>
      </c>
      <c r="I297" s="22" t="s">
        <v>73</v>
      </c>
      <c r="J297" s="22" t="s">
        <v>1254</v>
      </c>
      <c r="K297" s="22">
        <v>9</v>
      </c>
      <c r="L297" s="22" t="s">
        <v>82</v>
      </c>
      <c r="M297" s="22" t="s">
        <v>86</v>
      </c>
      <c r="N297" s="24">
        <v>537.4</v>
      </c>
      <c r="O297" s="22">
        <f>YEAR(B297)</f>
        <v>2023</v>
      </c>
      <c r="P297" s="25">
        <f>DATE(YEAR(B297),MONTH(B297),1)</f>
        <v>44927</v>
      </c>
      <c r="Q297" s="22" t="str">
        <f>IF(N297&gt;Summary!$C$17,"Outlier","")</f>
        <v/>
      </c>
      <c r="R297" s="22" t="str">
        <f>IF(L297="","None",L297)</f>
        <v>FREESHIP</v>
      </c>
    </row>
    <row r="298" spans="1:18" x14ac:dyDescent="0.2">
      <c r="A298" s="22" t="s">
        <v>1255</v>
      </c>
      <c r="B298" s="23">
        <v>45462</v>
      </c>
      <c r="C298" s="22" t="s">
        <v>1256</v>
      </c>
      <c r="D298" s="22" t="s">
        <v>66</v>
      </c>
      <c r="E298" s="22">
        <v>5</v>
      </c>
      <c r="F298" s="24">
        <v>638.79999999999995</v>
      </c>
      <c r="G298" s="22" t="s">
        <v>320</v>
      </c>
      <c r="H298" s="22" t="s">
        <v>77</v>
      </c>
      <c r="I298" s="22" t="s">
        <v>73</v>
      </c>
      <c r="J298" s="22" t="s">
        <v>1257</v>
      </c>
      <c r="K298" s="22">
        <v>10</v>
      </c>
      <c r="L298" s="22" t="s">
        <v>84</v>
      </c>
      <c r="M298" s="22" t="s">
        <v>90</v>
      </c>
      <c r="N298" s="24">
        <v>3194</v>
      </c>
      <c r="O298" s="22">
        <f>YEAR(B298)</f>
        <v>2024</v>
      </c>
      <c r="P298" s="25">
        <f>DATE(YEAR(B298),MONTH(B298),1)</f>
        <v>45444</v>
      </c>
      <c r="Q298" s="22" t="str">
        <f>IF(N298&gt;Summary!$C$17,"Outlier","")</f>
        <v/>
      </c>
      <c r="R298" s="22" t="str">
        <f>IF(L298="","None",L298)</f>
        <v>WINTER15</v>
      </c>
    </row>
    <row r="299" spans="1:18" x14ac:dyDescent="0.2">
      <c r="A299" s="22" t="s">
        <v>1258</v>
      </c>
      <c r="B299" s="23">
        <v>44979</v>
      </c>
      <c r="C299" s="22" t="s">
        <v>1259</v>
      </c>
      <c r="D299" s="22" t="s">
        <v>66</v>
      </c>
      <c r="E299" s="22">
        <v>2</v>
      </c>
      <c r="F299" s="24">
        <v>493.88</v>
      </c>
      <c r="G299" s="22" t="s">
        <v>1260</v>
      </c>
      <c r="H299" s="22" t="s">
        <v>76</v>
      </c>
      <c r="I299" s="22" t="s">
        <v>72</v>
      </c>
      <c r="J299" s="22" t="s">
        <v>1261</v>
      </c>
      <c r="K299" s="22">
        <v>7</v>
      </c>
      <c r="L299" s="22" t="s">
        <v>83</v>
      </c>
      <c r="M299" s="22" t="s">
        <v>89</v>
      </c>
      <c r="N299" s="24">
        <v>987.76</v>
      </c>
      <c r="O299" s="22">
        <f>YEAR(B299)</f>
        <v>2023</v>
      </c>
      <c r="P299" s="25">
        <f>DATE(YEAR(B299),MONTH(B299),1)</f>
        <v>44958</v>
      </c>
      <c r="Q299" s="22" t="str">
        <f>IF(N299&gt;Summary!$C$17,"Outlier","")</f>
        <v/>
      </c>
      <c r="R299" s="22" t="str">
        <f>IF(L299="","None",L299)</f>
        <v>SAVE10</v>
      </c>
    </row>
    <row r="300" spans="1:18" x14ac:dyDescent="0.2">
      <c r="A300" s="22" t="s">
        <v>1262</v>
      </c>
      <c r="B300" s="23">
        <v>45279</v>
      </c>
      <c r="C300" s="22" t="s">
        <v>1263</v>
      </c>
      <c r="D300" s="22" t="s">
        <v>62</v>
      </c>
      <c r="E300" s="22">
        <v>4</v>
      </c>
      <c r="F300" s="24">
        <v>301.17</v>
      </c>
      <c r="G300" s="22" t="s">
        <v>279</v>
      </c>
      <c r="H300" s="22" t="s">
        <v>79</v>
      </c>
      <c r="I300" s="22" t="s">
        <v>73</v>
      </c>
      <c r="J300" s="22" t="s">
        <v>1264</v>
      </c>
      <c r="K300" s="22">
        <v>6</v>
      </c>
      <c r="L300" s="22"/>
      <c r="M300" s="22" t="s">
        <v>86</v>
      </c>
      <c r="N300" s="24">
        <v>1204.68</v>
      </c>
      <c r="O300" s="22">
        <f>YEAR(B300)</f>
        <v>2023</v>
      </c>
      <c r="P300" s="25">
        <f>DATE(YEAR(B300),MONTH(B300),1)</f>
        <v>45261</v>
      </c>
      <c r="Q300" s="22" t="str">
        <f>IF(N300&gt;Summary!$C$17,"Outlier","")</f>
        <v/>
      </c>
      <c r="R300" s="22" t="str">
        <f>IF(L300="","None",L300)</f>
        <v>None</v>
      </c>
    </row>
    <row r="301" spans="1:18" x14ac:dyDescent="0.2">
      <c r="A301" s="22" t="s">
        <v>1265</v>
      </c>
      <c r="B301" s="23">
        <v>45311</v>
      </c>
      <c r="C301" s="22" t="s">
        <v>1266</v>
      </c>
      <c r="D301" s="22" t="s">
        <v>65</v>
      </c>
      <c r="E301" s="22">
        <v>1</v>
      </c>
      <c r="F301" s="24">
        <v>278.66000000000003</v>
      </c>
      <c r="G301" s="22" t="s">
        <v>1267</v>
      </c>
      <c r="H301" s="22" t="s">
        <v>78</v>
      </c>
      <c r="I301" s="22" t="s">
        <v>73</v>
      </c>
      <c r="J301" s="22" t="s">
        <v>1268</v>
      </c>
      <c r="K301" s="22">
        <v>2</v>
      </c>
      <c r="L301" s="22" t="s">
        <v>82</v>
      </c>
      <c r="M301" s="22" t="s">
        <v>89</v>
      </c>
      <c r="N301" s="24">
        <v>278.66000000000003</v>
      </c>
      <c r="O301" s="22">
        <f>YEAR(B301)</f>
        <v>2024</v>
      </c>
      <c r="P301" s="25">
        <f>DATE(YEAR(B301),MONTH(B301),1)</f>
        <v>45292</v>
      </c>
      <c r="Q301" s="22" t="str">
        <f>IF(N301&gt;Summary!$C$17,"Outlier","")</f>
        <v/>
      </c>
      <c r="R301" s="22" t="str">
        <f>IF(L301="","None",L301)</f>
        <v>FREESHIP</v>
      </c>
    </row>
    <row r="302" spans="1:18" x14ac:dyDescent="0.2">
      <c r="A302" s="22" t="s">
        <v>1269</v>
      </c>
      <c r="B302" s="23">
        <v>45537</v>
      </c>
      <c r="C302" s="22" t="s">
        <v>1270</v>
      </c>
      <c r="D302" s="22" t="s">
        <v>67</v>
      </c>
      <c r="E302" s="22">
        <v>1</v>
      </c>
      <c r="F302" s="24">
        <v>287.45999999999998</v>
      </c>
      <c r="G302" s="22" t="s">
        <v>1271</v>
      </c>
      <c r="H302" s="22" t="s">
        <v>77</v>
      </c>
      <c r="I302" s="22" t="s">
        <v>72</v>
      </c>
      <c r="J302" s="22" t="s">
        <v>1272</v>
      </c>
      <c r="K302" s="22">
        <v>3</v>
      </c>
      <c r="L302" s="22" t="s">
        <v>82</v>
      </c>
      <c r="M302" s="22" t="s">
        <v>87</v>
      </c>
      <c r="N302" s="24">
        <v>287.45999999999998</v>
      </c>
      <c r="O302" s="22">
        <f>YEAR(B302)</f>
        <v>2024</v>
      </c>
      <c r="P302" s="25">
        <f>DATE(YEAR(B302),MONTH(B302),1)</f>
        <v>45536</v>
      </c>
      <c r="Q302" s="22" t="str">
        <f>IF(N302&gt;Summary!$C$17,"Outlier","")</f>
        <v/>
      </c>
      <c r="R302" s="22" t="str">
        <f>IF(L302="","None",L302)</f>
        <v>FREESHIP</v>
      </c>
    </row>
    <row r="303" spans="1:18" x14ac:dyDescent="0.2">
      <c r="A303" s="22" t="s">
        <v>1273</v>
      </c>
      <c r="B303" s="23">
        <v>45057</v>
      </c>
      <c r="C303" s="22" t="s">
        <v>1274</v>
      </c>
      <c r="D303" s="22" t="s">
        <v>61</v>
      </c>
      <c r="E303" s="22">
        <v>1</v>
      </c>
      <c r="F303" s="24">
        <v>583.99</v>
      </c>
      <c r="G303" s="22" t="s">
        <v>1275</v>
      </c>
      <c r="H303" s="22" t="s">
        <v>75</v>
      </c>
      <c r="I303" s="22" t="s">
        <v>73</v>
      </c>
      <c r="J303" s="22" t="s">
        <v>1276</v>
      </c>
      <c r="K303" s="22">
        <v>2</v>
      </c>
      <c r="L303" s="22" t="s">
        <v>83</v>
      </c>
      <c r="M303" s="22" t="s">
        <v>86</v>
      </c>
      <c r="N303" s="24">
        <v>583.99</v>
      </c>
      <c r="O303" s="22">
        <f>YEAR(B303)</f>
        <v>2023</v>
      </c>
      <c r="P303" s="25">
        <f>DATE(YEAR(B303),MONTH(B303),1)</f>
        <v>45047</v>
      </c>
      <c r="Q303" s="22" t="str">
        <f>IF(N303&gt;Summary!$C$17,"Outlier","")</f>
        <v/>
      </c>
      <c r="R303" s="22" t="str">
        <f>IF(L303="","None",L303)</f>
        <v>SAVE10</v>
      </c>
    </row>
    <row r="304" spans="1:18" x14ac:dyDescent="0.2">
      <c r="A304" s="22" t="s">
        <v>1277</v>
      </c>
      <c r="B304" s="23">
        <v>45062</v>
      </c>
      <c r="C304" s="22" t="s">
        <v>1278</v>
      </c>
      <c r="D304" s="22" t="s">
        <v>61</v>
      </c>
      <c r="E304" s="22">
        <v>3</v>
      </c>
      <c r="F304" s="24">
        <v>468.74</v>
      </c>
      <c r="G304" s="22" t="s">
        <v>1279</v>
      </c>
      <c r="H304" s="22" t="s">
        <v>75</v>
      </c>
      <c r="I304" s="22" t="s">
        <v>71</v>
      </c>
      <c r="J304" s="22" t="s">
        <v>1280</v>
      </c>
      <c r="K304" s="22">
        <v>4</v>
      </c>
      <c r="L304" s="22" t="s">
        <v>82</v>
      </c>
      <c r="M304" s="22" t="s">
        <v>89</v>
      </c>
      <c r="N304" s="24">
        <v>1406.22</v>
      </c>
      <c r="O304" s="22">
        <f>YEAR(B304)</f>
        <v>2023</v>
      </c>
      <c r="P304" s="25">
        <f>DATE(YEAR(B304),MONTH(B304),1)</f>
        <v>45047</v>
      </c>
      <c r="Q304" s="22" t="str">
        <f>IF(N304&gt;Summary!$C$17,"Outlier","")</f>
        <v/>
      </c>
      <c r="R304" s="22" t="str">
        <f>IF(L304="","None",L304)</f>
        <v>FREESHIP</v>
      </c>
    </row>
    <row r="305" spans="1:18" x14ac:dyDescent="0.2">
      <c r="A305" s="22" t="s">
        <v>1281</v>
      </c>
      <c r="B305" s="23">
        <v>45633</v>
      </c>
      <c r="C305" s="22" t="s">
        <v>1282</v>
      </c>
      <c r="D305" s="22" t="s">
        <v>64</v>
      </c>
      <c r="E305" s="22">
        <v>1</v>
      </c>
      <c r="F305" s="24">
        <v>30.54</v>
      </c>
      <c r="G305" s="22" t="s">
        <v>1283</v>
      </c>
      <c r="H305" s="22" t="s">
        <v>77</v>
      </c>
      <c r="I305" s="22" t="s">
        <v>72</v>
      </c>
      <c r="J305" s="22" t="s">
        <v>1284</v>
      </c>
      <c r="K305" s="22">
        <v>1</v>
      </c>
      <c r="L305" s="22"/>
      <c r="M305" s="22" t="s">
        <v>88</v>
      </c>
      <c r="N305" s="24">
        <v>30.54</v>
      </c>
      <c r="O305" s="22">
        <f>YEAR(B305)</f>
        <v>2024</v>
      </c>
      <c r="P305" s="25">
        <f>DATE(YEAR(B305),MONTH(B305),1)</f>
        <v>45627</v>
      </c>
      <c r="Q305" s="22" t="str">
        <f>IF(N305&gt;Summary!$C$17,"Outlier","")</f>
        <v/>
      </c>
      <c r="R305" s="22" t="str">
        <f>IF(L305="","None",L305)</f>
        <v>None</v>
      </c>
    </row>
    <row r="306" spans="1:18" x14ac:dyDescent="0.2">
      <c r="A306" s="22" t="s">
        <v>1285</v>
      </c>
      <c r="B306" s="23">
        <v>45583</v>
      </c>
      <c r="C306" s="22" t="s">
        <v>1286</v>
      </c>
      <c r="D306" s="22" t="s">
        <v>65</v>
      </c>
      <c r="E306" s="22">
        <v>5</v>
      </c>
      <c r="F306" s="24">
        <v>408.73</v>
      </c>
      <c r="G306" s="22" t="s">
        <v>1287</v>
      </c>
      <c r="H306" s="22" t="s">
        <v>78</v>
      </c>
      <c r="I306" s="22" t="s">
        <v>69</v>
      </c>
      <c r="J306" s="22" t="s">
        <v>1288</v>
      </c>
      <c r="K306" s="22">
        <v>10</v>
      </c>
      <c r="L306" s="22" t="s">
        <v>82</v>
      </c>
      <c r="M306" s="22" t="s">
        <v>89</v>
      </c>
      <c r="N306" s="24">
        <v>2043.65</v>
      </c>
      <c r="O306" s="22">
        <f>YEAR(B306)</f>
        <v>2024</v>
      </c>
      <c r="P306" s="25">
        <f>DATE(YEAR(B306),MONTH(B306),1)</f>
        <v>45566</v>
      </c>
      <c r="Q306" s="22" t="str">
        <f>IF(N306&gt;Summary!$C$17,"Outlier","")</f>
        <v/>
      </c>
      <c r="R306" s="22" t="str">
        <f>IF(L306="","None",L306)</f>
        <v>FREESHIP</v>
      </c>
    </row>
    <row r="307" spans="1:18" x14ac:dyDescent="0.2">
      <c r="A307" s="22" t="s">
        <v>1289</v>
      </c>
      <c r="B307" s="23">
        <v>45255</v>
      </c>
      <c r="C307" s="22" t="s">
        <v>1290</v>
      </c>
      <c r="D307" s="22" t="s">
        <v>63</v>
      </c>
      <c r="E307" s="22">
        <v>4</v>
      </c>
      <c r="F307" s="24">
        <v>126.89</v>
      </c>
      <c r="G307" s="22" t="s">
        <v>1291</v>
      </c>
      <c r="H307" s="22" t="s">
        <v>75</v>
      </c>
      <c r="I307" s="22" t="s">
        <v>71</v>
      </c>
      <c r="J307" s="22" t="s">
        <v>1292</v>
      </c>
      <c r="K307" s="22">
        <v>9</v>
      </c>
      <c r="L307" s="22" t="s">
        <v>82</v>
      </c>
      <c r="M307" s="22" t="s">
        <v>89</v>
      </c>
      <c r="N307" s="24">
        <v>507.56</v>
      </c>
      <c r="O307" s="22">
        <f>YEAR(B307)</f>
        <v>2023</v>
      </c>
      <c r="P307" s="25">
        <f>DATE(YEAR(B307),MONTH(B307),1)</f>
        <v>45231</v>
      </c>
      <c r="Q307" s="22" t="str">
        <f>IF(N307&gt;Summary!$C$17,"Outlier","")</f>
        <v/>
      </c>
      <c r="R307" s="22" t="str">
        <f>IF(L307="","None",L307)</f>
        <v>FREESHIP</v>
      </c>
    </row>
    <row r="308" spans="1:18" x14ac:dyDescent="0.2">
      <c r="A308" s="22" t="s">
        <v>1293</v>
      </c>
      <c r="B308" s="23">
        <v>45450</v>
      </c>
      <c r="C308" s="22" t="s">
        <v>1294</v>
      </c>
      <c r="D308" s="22" t="s">
        <v>62</v>
      </c>
      <c r="E308" s="22">
        <v>2</v>
      </c>
      <c r="F308" s="24">
        <v>57.07</v>
      </c>
      <c r="G308" s="22" t="s">
        <v>1295</v>
      </c>
      <c r="H308" s="22" t="s">
        <v>77</v>
      </c>
      <c r="I308" s="22" t="s">
        <v>72</v>
      </c>
      <c r="J308" s="22" t="s">
        <v>1296</v>
      </c>
      <c r="K308" s="22">
        <v>3</v>
      </c>
      <c r="L308" s="22" t="s">
        <v>83</v>
      </c>
      <c r="M308" s="22" t="s">
        <v>89</v>
      </c>
      <c r="N308" s="24">
        <v>114.14</v>
      </c>
      <c r="O308" s="22">
        <f>YEAR(B308)</f>
        <v>2024</v>
      </c>
      <c r="P308" s="25">
        <f>DATE(YEAR(B308),MONTH(B308),1)</f>
        <v>45444</v>
      </c>
      <c r="Q308" s="22" t="str">
        <f>IF(N308&gt;Summary!$C$17,"Outlier","")</f>
        <v/>
      </c>
      <c r="R308" s="22" t="str">
        <f>IF(L308="","None",L308)</f>
        <v>SAVE10</v>
      </c>
    </row>
    <row r="309" spans="1:18" x14ac:dyDescent="0.2">
      <c r="A309" s="22" t="s">
        <v>1297</v>
      </c>
      <c r="B309" s="23">
        <v>45108</v>
      </c>
      <c r="C309" s="22" t="s">
        <v>1298</v>
      </c>
      <c r="D309" s="22" t="s">
        <v>63</v>
      </c>
      <c r="E309" s="22">
        <v>3</v>
      </c>
      <c r="F309" s="24">
        <v>557.41</v>
      </c>
      <c r="G309" s="22" t="s">
        <v>1299</v>
      </c>
      <c r="H309" s="22" t="s">
        <v>79</v>
      </c>
      <c r="I309" s="22" t="s">
        <v>69</v>
      </c>
      <c r="J309" s="22" t="s">
        <v>1300</v>
      </c>
      <c r="K309" s="22">
        <v>4</v>
      </c>
      <c r="L309" s="22"/>
      <c r="M309" s="22" t="s">
        <v>86</v>
      </c>
      <c r="N309" s="24">
        <v>1672.23</v>
      </c>
      <c r="O309" s="22">
        <f>YEAR(B309)</f>
        <v>2023</v>
      </c>
      <c r="P309" s="25">
        <f>DATE(YEAR(B309),MONTH(B309),1)</f>
        <v>45108</v>
      </c>
      <c r="Q309" s="22" t="str">
        <f>IF(N309&gt;Summary!$C$17,"Outlier","")</f>
        <v/>
      </c>
      <c r="R309" s="22" t="str">
        <f>IF(L309="","None",L309)</f>
        <v>None</v>
      </c>
    </row>
    <row r="310" spans="1:18" x14ac:dyDescent="0.2">
      <c r="A310" s="22" t="s">
        <v>1301</v>
      </c>
      <c r="B310" s="23">
        <v>45271</v>
      </c>
      <c r="C310" s="22" t="s">
        <v>1302</v>
      </c>
      <c r="D310" s="22" t="s">
        <v>62</v>
      </c>
      <c r="E310" s="22">
        <v>3</v>
      </c>
      <c r="F310" s="24">
        <v>448.9</v>
      </c>
      <c r="G310" s="22" t="s">
        <v>796</v>
      </c>
      <c r="H310" s="22" t="s">
        <v>77</v>
      </c>
      <c r="I310" s="22" t="s">
        <v>72</v>
      </c>
      <c r="J310" s="22" t="s">
        <v>1303</v>
      </c>
      <c r="K310" s="22">
        <v>7</v>
      </c>
      <c r="L310" s="22" t="s">
        <v>83</v>
      </c>
      <c r="M310" s="22" t="s">
        <v>89</v>
      </c>
      <c r="N310" s="24">
        <v>1346.7</v>
      </c>
      <c r="O310" s="22">
        <f>YEAR(B310)</f>
        <v>2023</v>
      </c>
      <c r="P310" s="25">
        <f>DATE(YEAR(B310),MONTH(B310),1)</f>
        <v>45261</v>
      </c>
      <c r="Q310" s="22" t="str">
        <f>IF(N310&gt;Summary!$C$17,"Outlier","")</f>
        <v/>
      </c>
      <c r="R310" s="22" t="str">
        <f>IF(L310="","None",L310)</f>
        <v>SAVE10</v>
      </c>
    </row>
    <row r="311" spans="1:18" x14ac:dyDescent="0.2">
      <c r="A311" s="22" t="s">
        <v>1304</v>
      </c>
      <c r="B311" s="23">
        <v>45202</v>
      </c>
      <c r="C311" s="22" t="s">
        <v>1305</v>
      </c>
      <c r="D311" s="22" t="s">
        <v>61</v>
      </c>
      <c r="E311" s="22">
        <v>4</v>
      </c>
      <c r="F311" s="24">
        <v>549.76</v>
      </c>
      <c r="G311" s="22" t="s">
        <v>1306</v>
      </c>
      <c r="H311" s="22" t="s">
        <v>77</v>
      </c>
      <c r="I311" s="22" t="s">
        <v>69</v>
      </c>
      <c r="J311" s="22" t="s">
        <v>1307</v>
      </c>
      <c r="K311" s="22">
        <v>4</v>
      </c>
      <c r="L311" s="22" t="s">
        <v>82</v>
      </c>
      <c r="M311" s="22" t="s">
        <v>87</v>
      </c>
      <c r="N311" s="24">
        <v>2199.04</v>
      </c>
      <c r="O311" s="22">
        <f>YEAR(B311)</f>
        <v>2023</v>
      </c>
      <c r="P311" s="25">
        <f>DATE(YEAR(B311),MONTH(B311),1)</f>
        <v>45200</v>
      </c>
      <c r="Q311" s="22" t="str">
        <f>IF(N311&gt;Summary!$C$17,"Outlier","")</f>
        <v/>
      </c>
      <c r="R311" s="22" t="str">
        <f>IF(L311="","None",L311)</f>
        <v>FREESHIP</v>
      </c>
    </row>
    <row r="312" spans="1:18" x14ac:dyDescent="0.2">
      <c r="A312" s="22" t="s">
        <v>1308</v>
      </c>
      <c r="B312" s="23">
        <v>45346</v>
      </c>
      <c r="C312" s="22" t="s">
        <v>1309</v>
      </c>
      <c r="D312" s="22" t="s">
        <v>62</v>
      </c>
      <c r="E312" s="22">
        <v>3</v>
      </c>
      <c r="F312" s="24">
        <v>132.47999999999999</v>
      </c>
      <c r="G312" s="22" t="s">
        <v>1310</v>
      </c>
      <c r="H312" s="22" t="s">
        <v>79</v>
      </c>
      <c r="I312" s="22" t="s">
        <v>70</v>
      </c>
      <c r="J312" s="22" t="s">
        <v>1311</v>
      </c>
      <c r="K312" s="22">
        <v>4</v>
      </c>
      <c r="L312" s="22"/>
      <c r="M312" s="22" t="s">
        <v>90</v>
      </c>
      <c r="N312" s="24">
        <v>397.44</v>
      </c>
      <c r="O312" s="22">
        <f>YEAR(B312)</f>
        <v>2024</v>
      </c>
      <c r="P312" s="25">
        <f>DATE(YEAR(B312),MONTH(B312),1)</f>
        <v>45323</v>
      </c>
      <c r="Q312" s="22" t="str">
        <f>IF(N312&gt;Summary!$C$17,"Outlier","")</f>
        <v/>
      </c>
      <c r="R312" s="22" t="str">
        <f>IF(L312="","None",L312)</f>
        <v>None</v>
      </c>
    </row>
    <row r="313" spans="1:18" x14ac:dyDescent="0.2">
      <c r="A313" s="22" t="s">
        <v>1312</v>
      </c>
      <c r="B313" s="23">
        <v>45794</v>
      </c>
      <c r="C313" s="22" t="s">
        <v>1313</v>
      </c>
      <c r="D313" s="22" t="s">
        <v>66</v>
      </c>
      <c r="E313" s="22">
        <v>5</v>
      </c>
      <c r="F313" s="24">
        <v>489.37</v>
      </c>
      <c r="G313" s="22" t="s">
        <v>1314</v>
      </c>
      <c r="H313" s="22" t="s">
        <v>79</v>
      </c>
      <c r="I313" s="22" t="s">
        <v>72</v>
      </c>
      <c r="J313" s="22" t="s">
        <v>1315</v>
      </c>
      <c r="K313" s="22">
        <v>8</v>
      </c>
      <c r="L313" s="22"/>
      <c r="M313" s="22" t="s">
        <v>89</v>
      </c>
      <c r="N313" s="24">
        <v>2446.85</v>
      </c>
      <c r="O313" s="22">
        <f>YEAR(B313)</f>
        <v>2025</v>
      </c>
      <c r="P313" s="25">
        <f>DATE(YEAR(B313),MONTH(B313),1)</f>
        <v>45778</v>
      </c>
      <c r="Q313" s="22" t="str">
        <f>IF(N313&gt;Summary!$C$17,"Outlier","")</f>
        <v/>
      </c>
      <c r="R313" s="22" t="str">
        <f>IF(L313="","None",L313)</f>
        <v>None</v>
      </c>
    </row>
    <row r="314" spans="1:18" x14ac:dyDescent="0.2">
      <c r="A314" s="22" t="s">
        <v>1316</v>
      </c>
      <c r="B314" s="23">
        <v>45801</v>
      </c>
      <c r="C314" s="22" t="s">
        <v>1317</v>
      </c>
      <c r="D314" s="22" t="s">
        <v>62</v>
      </c>
      <c r="E314" s="22">
        <v>5</v>
      </c>
      <c r="F314" s="24">
        <v>66.31</v>
      </c>
      <c r="G314" s="22" t="s">
        <v>998</v>
      </c>
      <c r="H314" s="22" t="s">
        <v>78</v>
      </c>
      <c r="I314" s="22" t="s">
        <v>71</v>
      </c>
      <c r="J314" s="22" t="s">
        <v>1318</v>
      </c>
      <c r="K314" s="22">
        <v>7</v>
      </c>
      <c r="L314" s="22" t="s">
        <v>82</v>
      </c>
      <c r="M314" s="22" t="s">
        <v>90</v>
      </c>
      <c r="N314" s="24">
        <v>331.55</v>
      </c>
      <c r="O314" s="22">
        <f>YEAR(B314)</f>
        <v>2025</v>
      </c>
      <c r="P314" s="25">
        <f>DATE(YEAR(B314),MONTH(B314),1)</f>
        <v>45778</v>
      </c>
      <c r="Q314" s="22" t="str">
        <f>IF(N314&gt;Summary!$C$17,"Outlier","")</f>
        <v/>
      </c>
      <c r="R314" s="22" t="str">
        <f>IF(L314="","None",L314)</f>
        <v>FREESHIP</v>
      </c>
    </row>
    <row r="315" spans="1:18" x14ac:dyDescent="0.2">
      <c r="A315" s="22" t="s">
        <v>1319</v>
      </c>
      <c r="B315" s="23">
        <v>45116</v>
      </c>
      <c r="C315" s="22" t="s">
        <v>1320</v>
      </c>
      <c r="D315" s="22" t="s">
        <v>61</v>
      </c>
      <c r="E315" s="22">
        <v>2</v>
      </c>
      <c r="F315" s="24">
        <v>434.3</v>
      </c>
      <c r="G315" s="22" t="s">
        <v>1321</v>
      </c>
      <c r="H315" s="22" t="s">
        <v>75</v>
      </c>
      <c r="I315" s="22" t="s">
        <v>69</v>
      </c>
      <c r="J315" s="22" t="s">
        <v>1322</v>
      </c>
      <c r="K315" s="22">
        <v>7</v>
      </c>
      <c r="L315" s="22" t="s">
        <v>83</v>
      </c>
      <c r="M315" s="22" t="s">
        <v>89</v>
      </c>
      <c r="N315" s="24">
        <v>868.6</v>
      </c>
      <c r="O315" s="22">
        <f>YEAR(B315)</f>
        <v>2023</v>
      </c>
      <c r="P315" s="25">
        <f>DATE(YEAR(B315),MONTH(B315),1)</f>
        <v>45108</v>
      </c>
      <c r="Q315" s="22" t="str">
        <f>IF(N315&gt;Summary!$C$17,"Outlier","")</f>
        <v/>
      </c>
      <c r="R315" s="22" t="str">
        <f>IF(L315="","None",L315)</f>
        <v>SAVE10</v>
      </c>
    </row>
    <row r="316" spans="1:18" x14ac:dyDescent="0.2">
      <c r="A316" s="22" t="s">
        <v>1323</v>
      </c>
      <c r="B316" s="23">
        <v>45203</v>
      </c>
      <c r="C316" s="22" t="s">
        <v>1324</v>
      </c>
      <c r="D316" s="22" t="s">
        <v>66</v>
      </c>
      <c r="E316" s="22">
        <v>4</v>
      </c>
      <c r="F316" s="24">
        <v>153.09</v>
      </c>
      <c r="G316" s="22" t="s">
        <v>1325</v>
      </c>
      <c r="H316" s="22" t="s">
        <v>79</v>
      </c>
      <c r="I316" s="22" t="s">
        <v>69</v>
      </c>
      <c r="J316" s="22" t="s">
        <v>1326</v>
      </c>
      <c r="K316" s="22">
        <v>4</v>
      </c>
      <c r="L316" s="22" t="s">
        <v>82</v>
      </c>
      <c r="M316" s="22" t="s">
        <v>90</v>
      </c>
      <c r="N316" s="24">
        <v>612.36</v>
      </c>
      <c r="O316" s="22">
        <f>YEAR(B316)</f>
        <v>2023</v>
      </c>
      <c r="P316" s="25">
        <f>DATE(YEAR(B316),MONTH(B316),1)</f>
        <v>45200</v>
      </c>
      <c r="Q316" s="22" t="str">
        <f>IF(N316&gt;Summary!$C$17,"Outlier","")</f>
        <v/>
      </c>
      <c r="R316" s="22" t="str">
        <f>IF(L316="","None",L316)</f>
        <v>FREESHIP</v>
      </c>
    </row>
    <row r="317" spans="1:18" x14ac:dyDescent="0.2">
      <c r="A317" s="22" t="s">
        <v>1327</v>
      </c>
      <c r="B317" s="23">
        <v>45789</v>
      </c>
      <c r="C317" s="22" t="s">
        <v>1328</v>
      </c>
      <c r="D317" s="22" t="s">
        <v>64</v>
      </c>
      <c r="E317" s="22">
        <v>5</v>
      </c>
      <c r="F317" s="24">
        <v>91.67</v>
      </c>
      <c r="G317" s="22" t="s">
        <v>1329</v>
      </c>
      <c r="H317" s="22" t="s">
        <v>79</v>
      </c>
      <c r="I317" s="22" t="s">
        <v>73</v>
      </c>
      <c r="J317" s="22" t="s">
        <v>1330</v>
      </c>
      <c r="K317" s="22">
        <v>9</v>
      </c>
      <c r="L317" s="22" t="s">
        <v>82</v>
      </c>
      <c r="M317" s="22" t="s">
        <v>86</v>
      </c>
      <c r="N317" s="24">
        <v>458.35</v>
      </c>
      <c r="O317" s="22">
        <f>YEAR(B317)</f>
        <v>2025</v>
      </c>
      <c r="P317" s="25">
        <f>DATE(YEAR(B317),MONTH(B317),1)</f>
        <v>45778</v>
      </c>
      <c r="Q317" s="22" t="str">
        <f>IF(N317&gt;Summary!$C$17,"Outlier","")</f>
        <v/>
      </c>
      <c r="R317" s="22" t="str">
        <f>IF(L317="","None",L317)</f>
        <v>FREESHIP</v>
      </c>
    </row>
    <row r="318" spans="1:18" x14ac:dyDescent="0.2">
      <c r="A318" s="22" t="s">
        <v>1331</v>
      </c>
      <c r="B318" s="23">
        <v>45201</v>
      </c>
      <c r="C318" s="22" t="s">
        <v>1332</v>
      </c>
      <c r="D318" s="22" t="s">
        <v>66</v>
      </c>
      <c r="E318" s="22">
        <v>4</v>
      </c>
      <c r="F318" s="24">
        <v>275.27999999999997</v>
      </c>
      <c r="G318" s="22" t="s">
        <v>1333</v>
      </c>
      <c r="H318" s="22" t="s">
        <v>78</v>
      </c>
      <c r="I318" s="22" t="s">
        <v>70</v>
      </c>
      <c r="J318" s="22" t="s">
        <v>1334</v>
      </c>
      <c r="K318" s="22">
        <v>9</v>
      </c>
      <c r="L318" s="22" t="s">
        <v>84</v>
      </c>
      <c r="M318" s="22" t="s">
        <v>87</v>
      </c>
      <c r="N318" s="24">
        <v>1101.1199999999999</v>
      </c>
      <c r="O318" s="22">
        <f>YEAR(B318)</f>
        <v>2023</v>
      </c>
      <c r="P318" s="25">
        <f>DATE(YEAR(B318),MONTH(B318),1)</f>
        <v>45200</v>
      </c>
      <c r="Q318" s="22" t="str">
        <f>IF(N318&gt;Summary!$C$17,"Outlier","")</f>
        <v/>
      </c>
      <c r="R318" s="22" t="str">
        <f>IF(L318="","None",L318)</f>
        <v>WINTER15</v>
      </c>
    </row>
    <row r="319" spans="1:18" x14ac:dyDescent="0.2">
      <c r="A319" s="22" t="s">
        <v>1335</v>
      </c>
      <c r="B319" s="23">
        <v>45026</v>
      </c>
      <c r="C319" s="22" t="s">
        <v>1336</v>
      </c>
      <c r="D319" s="22" t="s">
        <v>65</v>
      </c>
      <c r="E319" s="22">
        <v>2</v>
      </c>
      <c r="F319" s="24">
        <v>139.94999999999999</v>
      </c>
      <c r="G319" s="22" t="s">
        <v>1337</v>
      </c>
      <c r="H319" s="22" t="s">
        <v>79</v>
      </c>
      <c r="I319" s="22" t="s">
        <v>72</v>
      </c>
      <c r="J319" s="22" t="s">
        <v>1338</v>
      </c>
      <c r="K319" s="22">
        <v>5</v>
      </c>
      <c r="L319" s="22"/>
      <c r="M319" s="22" t="s">
        <v>89</v>
      </c>
      <c r="N319" s="24">
        <v>279.89999999999998</v>
      </c>
      <c r="O319" s="22">
        <f>YEAR(B319)</f>
        <v>2023</v>
      </c>
      <c r="P319" s="25">
        <f>DATE(YEAR(B319),MONTH(B319),1)</f>
        <v>45017</v>
      </c>
      <c r="Q319" s="22" t="str">
        <f>IF(N319&gt;Summary!$C$17,"Outlier","")</f>
        <v/>
      </c>
      <c r="R319" s="22" t="str">
        <f>IF(L319="","None",L319)</f>
        <v>None</v>
      </c>
    </row>
    <row r="320" spans="1:18" x14ac:dyDescent="0.2">
      <c r="A320" s="22" t="s">
        <v>1339</v>
      </c>
      <c r="B320" s="23">
        <v>45500</v>
      </c>
      <c r="C320" s="22" t="s">
        <v>1340</v>
      </c>
      <c r="D320" s="22" t="s">
        <v>61</v>
      </c>
      <c r="E320" s="22">
        <v>3</v>
      </c>
      <c r="F320" s="24">
        <v>148.72</v>
      </c>
      <c r="G320" s="22" t="s">
        <v>943</v>
      </c>
      <c r="H320" s="22" t="s">
        <v>77</v>
      </c>
      <c r="I320" s="22" t="s">
        <v>73</v>
      </c>
      <c r="J320" s="22" t="s">
        <v>1341</v>
      </c>
      <c r="K320" s="22">
        <v>7</v>
      </c>
      <c r="L320" s="22" t="s">
        <v>83</v>
      </c>
      <c r="M320" s="22" t="s">
        <v>88</v>
      </c>
      <c r="N320" s="24">
        <v>446.16</v>
      </c>
      <c r="O320" s="22">
        <f>YEAR(B320)</f>
        <v>2024</v>
      </c>
      <c r="P320" s="25">
        <f>DATE(YEAR(B320),MONTH(B320),1)</f>
        <v>45474</v>
      </c>
      <c r="Q320" s="22" t="str">
        <f>IF(N320&gt;Summary!$C$17,"Outlier","")</f>
        <v/>
      </c>
      <c r="R320" s="22" t="str">
        <f>IF(L320="","None",L320)</f>
        <v>SAVE10</v>
      </c>
    </row>
    <row r="321" spans="1:18" x14ac:dyDescent="0.2">
      <c r="A321" s="22" t="s">
        <v>1342</v>
      </c>
      <c r="B321" s="23">
        <v>45262</v>
      </c>
      <c r="C321" s="22" t="s">
        <v>1343</v>
      </c>
      <c r="D321" s="22" t="s">
        <v>63</v>
      </c>
      <c r="E321" s="22">
        <v>2</v>
      </c>
      <c r="F321" s="24">
        <v>563.05999999999995</v>
      </c>
      <c r="G321" s="22" t="s">
        <v>1344</v>
      </c>
      <c r="H321" s="22" t="s">
        <v>75</v>
      </c>
      <c r="I321" s="22" t="s">
        <v>72</v>
      </c>
      <c r="J321" s="22" t="s">
        <v>1345</v>
      </c>
      <c r="K321" s="22">
        <v>6</v>
      </c>
      <c r="L321" s="22"/>
      <c r="M321" s="22" t="s">
        <v>89</v>
      </c>
      <c r="N321" s="24">
        <v>1126.1199999999999</v>
      </c>
      <c r="O321" s="22">
        <f>YEAR(B321)</f>
        <v>2023</v>
      </c>
      <c r="P321" s="25">
        <f>DATE(YEAR(B321),MONTH(B321),1)</f>
        <v>45261</v>
      </c>
      <c r="Q321" s="22" t="str">
        <f>IF(N321&gt;Summary!$C$17,"Outlier","")</f>
        <v/>
      </c>
      <c r="R321" s="22" t="str">
        <f>IF(L321="","None",L321)</f>
        <v>None</v>
      </c>
    </row>
    <row r="322" spans="1:18" x14ac:dyDescent="0.2">
      <c r="A322" s="22" t="s">
        <v>1346</v>
      </c>
      <c r="B322" s="23">
        <v>45645</v>
      </c>
      <c r="C322" s="22" t="s">
        <v>1347</v>
      </c>
      <c r="D322" s="22" t="s">
        <v>62</v>
      </c>
      <c r="E322" s="22">
        <v>1</v>
      </c>
      <c r="F322" s="24">
        <v>625.51</v>
      </c>
      <c r="G322" s="22" t="s">
        <v>1348</v>
      </c>
      <c r="H322" s="22" t="s">
        <v>76</v>
      </c>
      <c r="I322" s="22" t="s">
        <v>70</v>
      </c>
      <c r="J322" s="22" t="s">
        <v>1349</v>
      </c>
      <c r="K322" s="22">
        <v>1</v>
      </c>
      <c r="L322" s="22" t="s">
        <v>82</v>
      </c>
      <c r="M322" s="22" t="s">
        <v>87</v>
      </c>
      <c r="N322" s="24">
        <v>625.51</v>
      </c>
      <c r="O322" s="22">
        <f>YEAR(B322)</f>
        <v>2024</v>
      </c>
      <c r="P322" s="25">
        <f>DATE(YEAR(B322),MONTH(B322),1)</f>
        <v>45627</v>
      </c>
      <c r="Q322" s="22" t="str">
        <f>IF(N322&gt;Summary!$C$17,"Outlier","")</f>
        <v/>
      </c>
      <c r="R322" s="22" t="str">
        <f>IF(L322="","None",L322)</f>
        <v>FREESHIP</v>
      </c>
    </row>
    <row r="323" spans="1:18" x14ac:dyDescent="0.2">
      <c r="A323" s="22" t="s">
        <v>1350</v>
      </c>
      <c r="B323" s="23">
        <v>45147</v>
      </c>
      <c r="C323" s="22" t="s">
        <v>1351</v>
      </c>
      <c r="D323" s="22" t="s">
        <v>67</v>
      </c>
      <c r="E323" s="22">
        <v>4</v>
      </c>
      <c r="F323" s="24">
        <v>152.29</v>
      </c>
      <c r="G323" s="22" t="s">
        <v>1299</v>
      </c>
      <c r="H323" s="22" t="s">
        <v>77</v>
      </c>
      <c r="I323" s="22" t="s">
        <v>73</v>
      </c>
      <c r="J323" s="22" t="s">
        <v>1352</v>
      </c>
      <c r="K323" s="22">
        <v>6</v>
      </c>
      <c r="L323" s="22" t="s">
        <v>84</v>
      </c>
      <c r="M323" s="22" t="s">
        <v>88</v>
      </c>
      <c r="N323" s="24">
        <v>609.16</v>
      </c>
      <c r="O323" s="22">
        <f>YEAR(B323)</f>
        <v>2023</v>
      </c>
      <c r="P323" s="25">
        <f>DATE(YEAR(B323),MONTH(B323),1)</f>
        <v>45139</v>
      </c>
      <c r="Q323" s="22" t="str">
        <f>IF(N323&gt;Summary!$C$17,"Outlier","")</f>
        <v/>
      </c>
      <c r="R323" s="22" t="str">
        <f>IF(L323="","None",L323)</f>
        <v>WINTER15</v>
      </c>
    </row>
    <row r="324" spans="1:18" x14ac:dyDescent="0.2">
      <c r="A324" s="22" t="s">
        <v>1353</v>
      </c>
      <c r="B324" s="23">
        <v>45457</v>
      </c>
      <c r="C324" s="22" t="s">
        <v>1354</v>
      </c>
      <c r="D324" s="22" t="s">
        <v>67</v>
      </c>
      <c r="E324" s="22">
        <v>5</v>
      </c>
      <c r="F324" s="24">
        <v>231.82</v>
      </c>
      <c r="G324" s="22" t="s">
        <v>1337</v>
      </c>
      <c r="H324" s="22" t="s">
        <v>77</v>
      </c>
      <c r="I324" s="22" t="s">
        <v>69</v>
      </c>
      <c r="J324" s="22" t="s">
        <v>1355</v>
      </c>
      <c r="K324" s="22">
        <v>6</v>
      </c>
      <c r="L324" s="22" t="s">
        <v>83</v>
      </c>
      <c r="M324" s="22" t="s">
        <v>87</v>
      </c>
      <c r="N324" s="24">
        <v>1159.0999999999999</v>
      </c>
      <c r="O324" s="22">
        <f>YEAR(B324)</f>
        <v>2024</v>
      </c>
      <c r="P324" s="25">
        <f>DATE(YEAR(B324),MONTH(B324),1)</f>
        <v>45444</v>
      </c>
      <c r="Q324" s="22" t="str">
        <f>IF(N324&gt;Summary!$C$17,"Outlier","")</f>
        <v/>
      </c>
      <c r="R324" s="22" t="str">
        <f>IF(L324="","None",L324)</f>
        <v>SAVE10</v>
      </c>
    </row>
    <row r="325" spans="1:18" x14ac:dyDescent="0.2">
      <c r="A325" s="22" t="s">
        <v>1356</v>
      </c>
      <c r="B325" s="23">
        <v>45683</v>
      </c>
      <c r="C325" s="22" t="s">
        <v>1357</v>
      </c>
      <c r="D325" s="22" t="s">
        <v>63</v>
      </c>
      <c r="E325" s="22">
        <v>1</v>
      </c>
      <c r="F325" s="24">
        <v>150.16999999999999</v>
      </c>
      <c r="G325" s="22" t="s">
        <v>1358</v>
      </c>
      <c r="H325" s="22" t="s">
        <v>77</v>
      </c>
      <c r="I325" s="22" t="s">
        <v>72</v>
      </c>
      <c r="J325" s="22" t="s">
        <v>1359</v>
      </c>
      <c r="K325" s="22">
        <v>1</v>
      </c>
      <c r="L325" s="22" t="s">
        <v>83</v>
      </c>
      <c r="M325" s="22" t="s">
        <v>90</v>
      </c>
      <c r="N325" s="24">
        <v>150.16999999999999</v>
      </c>
      <c r="O325" s="22">
        <f>YEAR(B325)</f>
        <v>2025</v>
      </c>
      <c r="P325" s="25">
        <f>DATE(YEAR(B325),MONTH(B325),1)</f>
        <v>45658</v>
      </c>
      <c r="Q325" s="22" t="str">
        <f>IF(N325&gt;Summary!$C$17,"Outlier","")</f>
        <v/>
      </c>
      <c r="R325" s="22" t="str">
        <f>IF(L325="","None",L325)</f>
        <v>SAVE10</v>
      </c>
    </row>
    <row r="326" spans="1:18" x14ac:dyDescent="0.2">
      <c r="A326" s="22" t="s">
        <v>1360</v>
      </c>
      <c r="B326" s="23">
        <v>45456</v>
      </c>
      <c r="C326" s="22" t="s">
        <v>1361</v>
      </c>
      <c r="D326" s="22" t="s">
        <v>64</v>
      </c>
      <c r="E326" s="22">
        <v>3</v>
      </c>
      <c r="F326" s="24">
        <v>70.930000000000007</v>
      </c>
      <c r="G326" s="22" t="s">
        <v>1362</v>
      </c>
      <c r="H326" s="22" t="s">
        <v>77</v>
      </c>
      <c r="I326" s="22" t="s">
        <v>72</v>
      </c>
      <c r="J326" s="22" t="s">
        <v>1363</v>
      </c>
      <c r="K326" s="22">
        <v>5</v>
      </c>
      <c r="L326" s="22"/>
      <c r="M326" s="22" t="s">
        <v>90</v>
      </c>
      <c r="N326" s="24">
        <v>212.79</v>
      </c>
      <c r="O326" s="22">
        <f>YEAR(B326)</f>
        <v>2024</v>
      </c>
      <c r="P326" s="25">
        <f>DATE(YEAR(B326),MONTH(B326),1)</f>
        <v>45444</v>
      </c>
      <c r="Q326" s="22" t="str">
        <f>IF(N326&gt;Summary!$C$17,"Outlier","")</f>
        <v/>
      </c>
      <c r="R326" s="22" t="str">
        <f>IF(L326="","None",L326)</f>
        <v>None</v>
      </c>
    </row>
    <row r="327" spans="1:18" x14ac:dyDescent="0.2">
      <c r="A327" s="22" t="s">
        <v>1364</v>
      </c>
      <c r="B327" s="23">
        <v>45106</v>
      </c>
      <c r="C327" s="22" t="s">
        <v>1365</v>
      </c>
      <c r="D327" s="22" t="s">
        <v>66</v>
      </c>
      <c r="E327" s="22">
        <v>3</v>
      </c>
      <c r="F327" s="24">
        <v>361.39</v>
      </c>
      <c r="G327" s="22" t="s">
        <v>1366</v>
      </c>
      <c r="H327" s="22" t="s">
        <v>76</v>
      </c>
      <c r="I327" s="22" t="s">
        <v>70</v>
      </c>
      <c r="J327" s="22" t="s">
        <v>1367</v>
      </c>
      <c r="K327" s="22">
        <v>8</v>
      </c>
      <c r="L327" s="22"/>
      <c r="M327" s="22" t="s">
        <v>90</v>
      </c>
      <c r="N327" s="24">
        <v>1084.17</v>
      </c>
      <c r="O327" s="22">
        <f>YEAR(B327)</f>
        <v>2023</v>
      </c>
      <c r="P327" s="25">
        <f>DATE(YEAR(B327),MONTH(B327),1)</f>
        <v>45078</v>
      </c>
      <c r="Q327" s="22" t="str">
        <f>IF(N327&gt;Summary!$C$17,"Outlier","")</f>
        <v/>
      </c>
      <c r="R327" s="22" t="str">
        <f>IF(L327="","None",L327)</f>
        <v>None</v>
      </c>
    </row>
    <row r="328" spans="1:18" x14ac:dyDescent="0.2">
      <c r="A328" s="22" t="s">
        <v>101</v>
      </c>
      <c r="B328" s="23">
        <v>45474</v>
      </c>
      <c r="C328" s="22" t="s">
        <v>1368</v>
      </c>
      <c r="D328" s="22" t="s">
        <v>63</v>
      </c>
      <c r="E328" s="22">
        <v>5</v>
      </c>
      <c r="F328" s="24">
        <v>670.48</v>
      </c>
      <c r="G328" s="22" t="s">
        <v>195</v>
      </c>
      <c r="H328" s="22" t="s">
        <v>78</v>
      </c>
      <c r="I328" s="22" t="s">
        <v>72</v>
      </c>
      <c r="J328" s="22" t="s">
        <v>1369</v>
      </c>
      <c r="K328" s="22">
        <v>5</v>
      </c>
      <c r="L328" s="22" t="s">
        <v>83</v>
      </c>
      <c r="M328" s="22" t="s">
        <v>87</v>
      </c>
      <c r="N328" s="24">
        <v>3352.4</v>
      </c>
      <c r="O328" s="22">
        <f>YEAR(B328)</f>
        <v>2024</v>
      </c>
      <c r="P328" s="25">
        <f>DATE(YEAR(B328),MONTH(B328),1)</f>
        <v>45474</v>
      </c>
      <c r="Q328" s="22" t="str">
        <f>IF(N328&gt;Summary!$C$17,"Outlier","")</f>
        <v>Outlier</v>
      </c>
      <c r="R328" s="22" t="str">
        <f>IF(L328="","None",L328)</f>
        <v>SAVE10</v>
      </c>
    </row>
    <row r="329" spans="1:18" x14ac:dyDescent="0.2">
      <c r="A329" s="22" t="s">
        <v>1370</v>
      </c>
      <c r="B329" s="23">
        <v>45132</v>
      </c>
      <c r="C329" s="22" t="s">
        <v>1371</v>
      </c>
      <c r="D329" s="22" t="s">
        <v>67</v>
      </c>
      <c r="E329" s="22">
        <v>1</v>
      </c>
      <c r="F329" s="24">
        <v>359.99</v>
      </c>
      <c r="G329" s="22" t="s">
        <v>375</v>
      </c>
      <c r="H329" s="22" t="s">
        <v>78</v>
      </c>
      <c r="I329" s="22" t="s">
        <v>73</v>
      </c>
      <c r="J329" s="22" t="s">
        <v>1372</v>
      </c>
      <c r="K329" s="22">
        <v>5</v>
      </c>
      <c r="L329" s="22" t="s">
        <v>83</v>
      </c>
      <c r="M329" s="22" t="s">
        <v>86</v>
      </c>
      <c r="N329" s="24">
        <v>359.99</v>
      </c>
      <c r="O329" s="22">
        <f>YEAR(B329)</f>
        <v>2023</v>
      </c>
      <c r="P329" s="25">
        <f>DATE(YEAR(B329),MONTH(B329),1)</f>
        <v>45108</v>
      </c>
      <c r="Q329" s="22" t="str">
        <f>IF(N329&gt;Summary!$C$17,"Outlier","")</f>
        <v/>
      </c>
      <c r="R329" s="22" t="str">
        <f>IF(L329="","None",L329)</f>
        <v>SAVE10</v>
      </c>
    </row>
    <row r="330" spans="1:18" x14ac:dyDescent="0.2">
      <c r="A330" s="22" t="s">
        <v>99</v>
      </c>
      <c r="B330" s="23">
        <v>44985</v>
      </c>
      <c r="C330" s="22" t="s">
        <v>1373</v>
      </c>
      <c r="D330" s="22" t="s">
        <v>64</v>
      </c>
      <c r="E330" s="22">
        <v>5</v>
      </c>
      <c r="F330" s="24">
        <v>674.04</v>
      </c>
      <c r="G330" s="22" t="s">
        <v>1374</v>
      </c>
      <c r="H330" s="22" t="s">
        <v>79</v>
      </c>
      <c r="I330" s="22" t="s">
        <v>73</v>
      </c>
      <c r="J330" s="22" t="s">
        <v>1375</v>
      </c>
      <c r="K330" s="22">
        <v>7</v>
      </c>
      <c r="L330" s="22" t="s">
        <v>83</v>
      </c>
      <c r="M330" s="22" t="s">
        <v>88</v>
      </c>
      <c r="N330" s="24">
        <v>3370.2</v>
      </c>
      <c r="O330" s="22">
        <f>YEAR(B330)</f>
        <v>2023</v>
      </c>
      <c r="P330" s="25">
        <f>DATE(YEAR(B330),MONTH(B330),1)</f>
        <v>44958</v>
      </c>
      <c r="Q330" s="22" t="str">
        <f>IF(N330&gt;Summary!$C$17,"Outlier","")</f>
        <v>Outlier</v>
      </c>
      <c r="R330" s="22" t="str">
        <f>IF(L330="","None",L330)</f>
        <v>SAVE10</v>
      </c>
    </row>
    <row r="331" spans="1:18" x14ac:dyDescent="0.2">
      <c r="A331" s="22" t="s">
        <v>1376</v>
      </c>
      <c r="B331" s="23">
        <v>45651</v>
      </c>
      <c r="C331" s="22" t="s">
        <v>1377</v>
      </c>
      <c r="D331" s="22" t="s">
        <v>61</v>
      </c>
      <c r="E331" s="22">
        <v>4</v>
      </c>
      <c r="F331" s="24">
        <v>283.16000000000003</v>
      </c>
      <c r="G331" s="22" t="s">
        <v>1065</v>
      </c>
      <c r="H331" s="22" t="s">
        <v>76</v>
      </c>
      <c r="I331" s="22" t="s">
        <v>70</v>
      </c>
      <c r="J331" s="22" t="s">
        <v>1378</v>
      </c>
      <c r="K331" s="22">
        <v>6</v>
      </c>
      <c r="L331" s="22"/>
      <c r="M331" s="22" t="s">
        <v>88</v>
      </c>
      <c r="N331" s="24">
        <v>1132.6400000000001</v>
      </c>
      <c r="O331" s="22">
        <f>YEAR(B331)</f>
        <v>2024</v>
      </c>
      <c r="P331" s="25">
        <f>DATE(YEAR(B331),MONTH(B331),1)</f>
        <v>45627</v>
      </c>
      <c r="Q331" s="22" t="str">
        <f>IF(N331&gt;Summary!$C$17,"Outlier","")</f>
        <v/>
      </c>
      <c r="R331" s="22" t="str">
        <f>IF(L331="","None",L331)</f>
        <v>None</v>
      </c>
    </row>
    <row r="332" spans="1:18" x14ac:dyDescent="0.2">
      <c r="A332" s="22" t="s">
        <v>1379</v>
      </c>
      <c r="B332" s="23">
        <v>45445</v>
      </c>
      <c r="C332" s="22" t="s">
        <v>1380</v>
      </c>
      <c r="D332" s="22" t="s">
        <v>66</v>
      </c>
      <c r="E332" s="22">
        <v>5</v>
      </c>
      <c r="F332" s="24">
        <v>260.52999999999997</v>
      </c>
      <c r="G332" s="22" t="s">
        <v>1381</v>
      </c>
      <c r="H332" s="22" t="s">
        <v>78</v>
      </c>
      <c r="I332" s="22" t="s">
        <v>71</v>
      </c>
      <c r="J332" s="22" t="s">
        <v>1382</v>
      </c>
      <c r="K332" s="22">
        <v>5</v>
      </c>
      <c r="L332" s="22" t="s">
        <v>83</v>
      </c>
      <c r="M332" s="22" t="s">
        <v>89</v>
      </c>
      <c r="N332" s="24">
        <v>1302.6500000000001</v>
      </c>
      <c r="O332" s="22">
        <f>YEAR(B332)</f>
        <v>2024</v>
      </c>
      <c r="P332" s="25">
        <f>DATE(YEAR(B332),MONTH(B332),1)</f>
        <v>45444</v>
      </c>
      <c r="Q332" s="22" t="str">
        <f>IF(N332&gt;Summary!$C$17,"Outlier","")</f>
        <v/>
      </c>
      <c r="R332" s="22" t="str">
        <f>IF(L332="","None",L332)</f>
        <v>SAVE10</v>
      </c>
    </row>
    <row r="333" spans="1:18" x14ac:dyDescent="0.2">
      <c r="A333" s="22" t="s">
        <v>1383</v>
      </c>
      <c r="B333" s="23">
        <v>45031</v>
      </c>
      <c r="C333" s="22" t="s">
        <v>1384</v>
      </c>
      <c r="D333" s="22" t="s">
        <v>62</v>
      </c>
      <c r="E333" s="22">
        <v>3</v>
      </c>
      <c r="F333" s="24">
        <v>422.13</v>
      </c>
      <c r="G333" s="22" t="s">
        <v>587</v>
      </c>
      <c r="H333" s="22" t="s">
        <v>79</v>
      </c>
      <c r="I333" s="22" t="s">
        <v>69</v>
      </c>
      <c r="J333" s="22" t="s">
        <v>1385</v>
      </c>
      <c r="K333" s="22">
        <v>7</v>
      </c>
      <c r="L333" s="22" t="s">
        <v>83</v>
      </c>
      <c r="M333" s="22" t="s">
        <v>87</v>
      </c>
      <c r="N333" s="24">
        <v>1266.3900000000001</v>
      </c>
      <c r="O333" s="22">
        <f>YEAR(B333)</f>
        <v>2023</v>
      </c>
      <c r="P333" s="25">
        <f>DATE(YEAR(B333),MONTH(B333),1)</f>
        <v>45017</v>
      </c>
      <c r="Q333" s="22" t="str">
        <f>IF(N333&gt;Summary!$C$17,"Outlier","")</f>
        <v/>
      </c>
      <c r="R333" s="22" t="str">
        <f>IF(L333="","None",L333)</f>
        <v>SAVE10</v>
      </c>
    </row>
    <row r="334" spans="1:18" x14ac:dyDescent="0.2">
      <c r="A334" s="22" t="s">
        <v>1386</v>
      </c>
      <c r="B334" s="23">
        <v>45476</v>
      </c>
      <c r="C334" s="22" t="s">
        <v>1387</v>
      </c>
      <c r="D334" s="22" t="s">
        <v>66</v>
      </c>
      <c r="E334" s="22">
        <v>5</v>
      </c>
      <c r="F334" s="24">
        <v>125.02</v>
      </c>
      <c r="G334" s="22" t="s">
        <v>1388</v>
      </c>
      <c r="H334" s="22" t="s">
        <v>77</v>
      </c>
      <c r="I334" s="22" t="s">
        <v>71</v>
      </c>
      <c r="J334" s="22" t="s">
        <v>1389</v>
      </c>
      <c r="K334" s="22">
        <v>9</v>
      </c>
      <c r="L334" s="22" t="s">
        <v>83</v>
      </c>
      <c r="M334" s="22" t="s">
        <v>88</v>
      </c>
      <c r="N334" s="24">
        <v>625.1</v>
      </c>
      <c r="O334" s="22">
        <f>YEAR(B334)</f>
        <v>2024</v>
      </c>
      <c r="P334" s="25">
        <f>DATE(YEAR(B334),MONTH(B334),1)</f>
        <v>45474</v>
      </c>
      <c r="Q334" s="22" t="str">
        <f>IF(N334&gt;Summary!$C$17,"Outlier","")</f>
        <v/>
      </c>
      <c r="R334" s="22" t="str">
        <f>IF(L334="","None",L334)</f>
        <v>SAVE10</v>
      </c>
    </row>
    <row r="335" spans="1:18" x14ac:dyDescent="0.2">
      <c r="A335" s="22" t="s">
        <v>1390</v>
      </c>
      <c r="B335" s="23">
        <v>45398</v>
      </c>
      <c r="C335" s="22" t="s">
        <v>1391</v>
      </c>
      <c r="D335" s="22" t="s">
        <v>67</v>
      </c>
      <c r="E335" s="22">
        <v>1</v>
      </c>
      <c r="F335" s="24">
        <v>198.51</v>
      </c>
      <c r="G335" s="22" t="s">
        <v>1392</v>
      </c>
      <c r="H335" s="22" t="s">
        <v>76</v>
      </c>
      <c r="I335" s="22" t="s">
        <v>72</v>
      </c>
      <c r="J335" s="22" t="s">
        <v>1393</v>
      </c>
      <c r="K335" s="22">
        <v>5</v>
      </c>
      <c r="L335" s="22" t="s">
        <v>84</v>
      </c>
      <c r="M335" s="22" t="s">
        <v>89</v>
      </c>
      <c r="N335" s="24">
        <v>198.51</v>
      </c>
      <c r="O335" s="22">
        <f>YEAR(B335)</f>
        <v>2024</v>
      </c>
      <c r="P335" s="25">
        <f>DATE(YEAR(B335),MONTH(B335),1)</f>
        <v>45383</v>
      </c>
      <c r="Q335" s="22" t="str">
        <f>IF(N335&gt;Summary!$C$17,"Outlier","")</f>
        <v/>
      </c>
      <c r="R335" s="22" t="str">
        <f>IF(L335="","None",L335)</f>
        <v>WINTER15</v>
      </c>
    </row>
    <row r="336" spans="1:18" x14ac:dyDescent="0.2">
      <c r="A336" s="22" t="s">
        <v>1394</v>
      </c>
      <c r="B336" s="23">
        <v>45377</v>
      </c>
      <c r="C336" s="22" t="s">
        <v>1395</v>
      </c>
      <c r="D336" s="22" t="s">
        <v>61</v>
      </c>
      <c r="E336" s="22">
        <v>4</v>
      </c>
      <c r="F336" s="24">
        <v>224.75</v>
      </c>
      <c r="G336" s="22" t="s">
        <v>1396</v>
      </c>
      <c r="H336" s="22" t="s">
        <v>79</v>
      </c>
      <c r="I336" s="22" t="s">
        <v>69</v>
      </c>
      <c r="J336" s="22" t="s">
        <v>1397</v>
      </c>
      <c r="K336" s="22">
        <v>7</v>
      </c>
      <c r="L336" s="22" t="s">
        <v>84</v>
      </c>
      <c r="M336" s="22" t="s">
        <v>87</v>
      </c>
      <c r="N336" s="24">
        <v>899</v>
      </c>
      <c r="O336" s="22">
        <f>YEAR(B336)</f>
        <v>2024</v>
      </c>
      <c r="P336" s="25">
        <f>DATE(YEAR(B336),MONTH(B336),1)</f>
        <v>45352</v>
      </c>
      <c r="Q336" s="22" t="str">
        <f>IF(N336&gt;Summary!$C$17,"Outlier","")</f>
        <v/>
      </c>
      <c r="R336" s="22" t="str">
        <f>IF(L336="","None",L336)</f>
        <v>WINTER15</v>
      </c>
    </row>
    <row r="337" spans="1:18" x14ac:dyDescent="0.2">
      <c r="A337" s="22" t="s">
        <v>1398</v>
      </c>
      <c r="B337" s="23">
        <v>45719</v>
      </c>
      <c r="C337" s="22" t="s">
        <v>1399</v>
      </c>
      <c r="D337" s="22" t="s">
        <v>64</v>
      </c>
      <c r="E337" s="22">
        <v>3</v>
      </c>
      <c r="F337" s="24">
        <v>205.86</v>
      </c>
      <c r="G337" s="22" t="s">
        <v>1321</v>
      </c>
      <c r="H337" s="22" t="s">
        <v>78</v>
      </c>
      <c r="I337" s="22" t="s">
        <v>70</v>
      </c>
      <c r="J337" s="22" t="s">
        <v>1400</v>
      </c>
      <c r="K337" s="22">
        <v>4</v>
      </c>
      <c r="L337" s="22"/>
      <c r="M337" s="22" t="s">
        <v>86</v>
      </c>
      <c r="N337" s="24">
        <v>617.58000000000004</v>
      </c>
      <c r="O337" s="22">
        <f>YEAR(B337)</f>
        <v>2025</v>
      </c>
      <c r="P337" s="25">
        <f>DATE(YEAR(B337),MONTH(B337),1)</f>
        <v>45717</v>
      </c>
      <c r="Q337" s="22" t="str">
        <f>IF(N337&gt;Summary!$C$17,"Outlier","")</f>
        <v/>
      </c>
      <c r="R337" s="22" t="str">
        <f>IF(L337="","None",L337)</f>
        <v>None</v>
      </c>
    </row>
    <row r="338" spans="1:18" x14ac:dyDescent="0.2">
      <c r="A338" s="22" t="s">
        <v>1401</v>
      </c>
      <c r="B338" s="23">
        <v>45289</v>
      </c>
      <c r="C338" s="22" t="s">
        <v>1402</v>
      </c>
      <c r="D338" s="22" t="s">
        <v>63</v>
      </c>
      <c r="E338" s="22">
        <v>1</v>
      </c>
      <c r="F338" s="24">
        <v>18.2</v>
      </c>
      <c r="G338" s="22" t="s">
        <v>1403</v>
      </c>
      <c r="H338" s="22" t="s">
        <v>77</v>
      </c>
      <c r="I338" s="22" t="s">
        <v>71</v>
      </c>
      <c r="J338" s="22" t="s">
        <v>1404</v>
      </c>
      <c r="K338" s="22">
        <v>4</v>
      </c>
      <c r="L338" s="22" t="s">
        <v>83</v>
      </c>
      <c r="M338" s="22" t="s">
        <v>89</v>
      </c>
      <c r="N338" s="24">
        <v>18.2</v>
      </c>
      <c r="O338" s="22">
        <f>YEAR(B338)</f>
        <v>2023</v>
      </c>
      <c r="P338" s="25">
        <f>DATE(YEAR(B338),MONTH(B338),1)</f>
        <v>45261</v>
      </c>
      <c r="Q338" s="22" t="str">
        <f>IF(N338&gt;Summary!$C$17,"Outlier","")</f>
        <v/>
      </c>
      <c r="R338" s="22" t="str">
        <f>IF(L338="","None",L338)</f>
        <v>SAVE10</v>
      </c>
    </row>
    <row r="339" spans="1:18" x14ac:dyDescent="0.2">
      <c r="A339" s="22" t="s">
        <v>1405</v>
      </c>
      <c r="B339" s="23">
        <v>45075</v>
      </c>
      <c r="C339" s="22" t="s">
        <v>1406</v>
      </c>
      <c r="D339" s="22" t="s">
        <v>64</v>
      </c>
      <c r="E339" s="22">
        <v>3</v>
      </c>
      <c r="F339" s="24">
        <v>502.77</v>
      </c>
      <c r="G339" s="22" t="s">
        <v>1407</v>
      </c>
      <c r="H339" s="22" t="s">
        <v>77</v>
      </c>
      <c r="I339" s="22" t="s">
        <v>72</v>
      </c>
      <c r="J339" s="22" t="s">
        <v>1408</v>
      </c>
      <c r="K339" s="22">
        <v>8</v>
      </c>
      <c r="L339" s="22" t="s">
        <v>84</v>
      </c>
      <c r="M339" s="22" t="s">
        <v>86</v>
      </c>
      <c r="N339" s="24">
        <v>1508.31</v>
      </c>
      <c r="O339" s="22">
        <f>YEAR(B339)</f>
        <v>2023</v>
      </c>
      <c r="P339" s="25">
        <f>DATE(YEAR(B339),MONTH(B339),1)</f>
        <v>45047</v>
      </c>
      <c r="Q339" s="22" t="str">
        <f>IF(N339&gt;Summary!$C$17,"Outlier","")</f>
        <v/>
      </c>
      <c r="R339" s="22" t="str">
        <f>IF(L339="","None",L339)</f>
        <v>WINTER15</v>
      </c>
    </row>
    <row r="340" spans="1:18" x14ac:dyDescent="0.2">
      <c r="A340" s="22" t="s">
        <v>1409</v>
      </c>
      <c r="B340" s="23">
        <v>45238</v>
      </c>
      <c r="C340" s="22" t="s">
        <v>1410</v>
      </c>
      <c r="D340" s="22" t="s">
        <v>67</v>
      </c>
      <c r="E340" s="22">
        <v>5</v>
      </c>
      <c r="F340" s="24">
        <v>305.49</v>
      </c>
      <c r="G340" s="22" t="s">
        <v>1411</v>
      </c>
      <c r="H340" s="22" t="s">
        <v>77</v>
      </c>
      <c r="I340" s="22" t="s">
        <v>70</v>
      </c>
      <c r="J340" s="22" t="s">
        <v>1412</v>
      </c>
      <c r="K340" s="22">
        <v>10</v>
      </c>
      <c r="L340" s="22"/>
      <c r="M340" s="22" t="s">
        <v>90</v>
      </c>
      <c r="N340" s="24">
        <v>1527.45</v>
      </c>
      <c r="O340" s="22">
        <f>YEAR(B340)</f>
        <v>2023</v>
      </c>
      <c r="P340" s="25">
        <f>DATE(YEAR(B340),MONTH(B340),1)</f>
        <v>45231</v>
      </c>
      <c r="Q340" s="22" t="str">
        <f>IF(N340&gt;Summary!$C$17,"Outlier","")</f>
        <v/>
      </c>
      <c r="R340" s="22" t="str">
        <f>IF(L340="","None",L340)</f>
        <v>None</v>
      </c>
    </row>
    <row r="341" spans="1:18" x14ac:dyDescent="0.2">
      <c r="A341" s="22" t="s">
        <v>1413</v>
      </c>
      <c r="B341" s="23">
        <v>45392</v>
      </c>
      <c r="C341" s="22" t="s">
        <v>1414</v>
      </c>
      <c r="D341" s="22" t="s">
        <v>62</v>
      </c>
      <c r="E341" s="22">
        <v>2</v>
      </c>
      <c r="F341" s="24">
        <v>236.33</v>
      </c>
      <c r="G341" s="22" t="s">
        <v>1415</v>
      </c>
      <c r="H341" s="22" t="s">
        <v>79</v>
      </c>
      <c r="I341" s="22" t="s">
        <v>71</v>
      </c>
      <c r="J341" s="22" t="s">
        <v>1416</v>
      </c>
      <c r="K341" s="22">
        <v>3</v>
      </c>
      <c r="L341" s="22" t="s">
        <v>83</v>
      </c>
      <c r="M341" s="22" t="s">
        <v>89</v>
      </c>
      <c r="N341" s="24">
        <v>472.66</v>
      </c>
      <c r="O341" s="22">
        <f>YEAR(B341)</f>
        <v>2024</v>
      </c>
      <c r="P341" s="25">
        <f>DATE(YEAR(B341),MONTH(B341),1)</f>
        <v>45383</v>
      </c>
      <c r="Q341" s="22" t="str">
        <f>IF(N341&gt;Summary!$C$17,"Outlier","")</f>
        <v/>
      </c>
      <c r="R341" s="22" t="str">
        <f>IF(L341="","None",L341)</f>
        <v>SAVE10</v>
      </c>
    </row>
    <row r="342" spans="1:18" x14ac:dyDescent="0.2">
      <c r="A342" s="22" t="s">
        <v>1417</v>
      </c>
      <c r="B342" s="23">
        <v>45039</v>
      </c>
      <c r="C342" s="22" t="s">
        <v>1418</v>
      </c>
      <c r="D342" s="22" t="s">
        <v>63</v>
      </c>
      <c r="E342" s="22">
        <v>5</v>
      </c>
      <c r="F342" s="24">
        <v>521.25</v>
      </c>
      <c r="G342" s="22" t="s">
        <v>1419</v>
      </c>
      <c r="H342" s="22" t="s">
        <v>75</v>
      </c>
      <c r="I342" s="22" t="s">
        <v>73</v>
      </c>
      <c r="J342" s="22" t="s">
        <v>1420</v>
      </c>
      <c r="K342" s="22">
        <v>8</v>
      </c>
      <c r="L342" s="22"/>
      <c r="M342" s="22" t="s">
        <v>86</v>
      </c>
      <c r="N342" s="24">
        <v>2606.25</v>
      </c>
      <c r="O342" s="22">
        <f>YEAR(B342)</f>
        <v>2023</v>
      </c>
      <c r="P342" s="25">
        <f>DATE(YEAR(B342),MONTH(B342),1)</f>
        <v>45017</v>
      </c>
      <c r="Q342" s="22" t="str">
        <f>IF(N342&gt;Summary!$C$17,"Outlier","")</f>
        <v/>
      </c>
      <c r="R342" s="22" t="str">
        <f>IF(L342="","None",L342)</f>
        <v>None</v>
      </c>
    </row>
    <row r="343" spans="1:18" x14ac:dyDescent="0.2">
      <c r="A343" s="22" t="s">
        <v>1421</v>
      </c>
      <c r="B343" s="23">
        <v>45558</v>
      </c>
      <c r="C343" s="22" t="s">
        <v>1422</v>
      </c>
      <c r="D343" s="22" t="s">
        <v>64</v>
      </c>
      <c r="E343" s="22">
        <v>1</v>
      </c>
      <c r="F343" s="24">
        <v>167.15</v>
      </c>
      <c r="G343" s="22" t="s">
        <v>1423</v>
      </c>
      <c r="H343" s="22" t="s">
        <v>78</v>
      </c>
      <c r="I343" s="22" t="s">
        <v>70</v>
      </c>
      <c r="J343" s="22" t="s">
        <v>1424</v>
      </c>
      <c r="K343" s="22">
        <v>5</v>
      </c>
      <c r="L343" s="22" t="s">
        <v>84</v>
      </c>
      <c r="M343" s="22" t="s">
        <v>86</v>
      </c>
      <c r="N343" s="24">
        <v>167.15</v>
      </c>
      <c r="O343" s="22">
        <f>YEAR(B343)</f>
        <v>2024</v>
      </c>
      <c r="P343" s="25">
        <f>DATE(YEAR(B343),MONTH(B343),1)</f>
        <v>45536</v>
      </c>
      <c r="Q343" s="22" t="str">
        <f>IF(N343&gt;Summary!$C$17,"Outlier","")</f>
        <v/>
      </c>
      <c r="R343" s="22" t="str">
        <f>IF(L343="","None",L343)</f>
        <v>WINTER15</v>
      </c>
    </row>
    <row r="344" spans="1:18" x14ac:dyDescent="0.2">
      <c r="A344" s="22" t="s">
        <v>1425</v>
      </c>
      <c r="B344" s="23">
        <v>45832</v>
      </c>
      <c r="C344" s="22" t="s">
        <v>1426</v>
      </c>
      <c r="D344" s="22" t="s">
        <v>65</v>
      </c>
      <c r="E344" s="22">
        <v>5</v>
      </c>
      <c r="F344" s="24">
        <v>466.42</v>
      </c>
      <c r="G344" s="22" t="s">
        <v>1427</v>
      </c>
      <c r="H344" s="22" t="s">
        <v>78</v>
      </c>
      <c r="I344" s="22" t="s">
        <v>72</v>
      </c>
      <c r="J344" s="22" t="s">
        <v>1428</v>
      </c>
      <c r="K344" s="22">
        <v>5</v>
      </c>
      <c r="L344" s="22"/>
      <c r="M344" s="22" t="s">
        <v>90</v>
      </c>
      <c r="N344" s="24">
        <v>2332.1</v>
      </c>
      <c r="O344" s="22">
        <f>YEAR(B344)</f>
        <v>2025</v>
      </c>
      <c r="P344" s="25">
        <f>DATE(YEAR(B344),MONTH(B344),1)</f>
        <v>45809</v>
      </c>
      <c r="Q344" s="22" t="str">
        <f>IF(N344&gt;Summary!$C$17,"Outlier","")</f>
        <v/>
      </c>
      <c r="R344" s="22" t="str">
        <f>IF(L344="","None",L344)</f>
        <v>None</v>
      </c>
    </row>
    <row r="345" spans="1:18" x14ac:dyDescent="0.2">
      <c r="A345" s="22" t="s">
        <v>1429</v>
      </c>
      <c r="B345" s="23">
        <v>44983</v>
      </c>
      <c r="C345" s="22" t="s">
        <v>1430</v>
      </c>
      <c r="D345" s="22" t="s">
        <v>62</v>
      </c>
      <c r="E345" s="22">
        <v>1</v>
      </c>
      <c r="F345" s="24">
        <v>527.57000000000005</v>
      </c>
      <c r="G345" s="22" t="s">
        <v>1431</v>
      </c>
      <c r="H345" s="22" t="s">
        <v>77</v>
      </c>
      <c r="I345" s="22" t="s">
        <v>71</v>
      </c>
      <c r="J345" s="22" t="s">
        <v>1432</v>
      </c>
      <c r="K345" s="22">
        <v>3</v>
      </c>
      <c r="L345" s="22" t="s">
        <v>82</v>
      </c>
      <c r="M345" s="22" t="s">
        <v>87</v>
      </c>
      <c r="N345" s="24">
        <v>527.57000000000005</v>
      </c>
      <c r="O345" s="22">
        <f>YEAR(B345)</f>
        <v>2023</v>
      </c>
      <c r="P345" s="25">
        <f>DATE(YEAR(B345),MONTH(B345),1)</f>
        <v>44958</v>
      </c>
      <c r="Q345" s="22" t="str">
        <f>IF(N345&gt;Summary!$C$17,"Outlier","")</f>
        <v/>
      </c>
      <c r="R345" s="22" t="str">
        <f>IF(L345="","None",L345)</f>
        <v>FREESHIP</v>
      </c>
    </row>
    <row r="346" spans="1:18" x14ac:dyDescent="0.2">
      <c r="A346" s="22" t="s">
        <v>1433</v>
      </c>
      <c r="B346" s="23">
        <v>45722</v>
      </c>
      <c r="C346" s="22" t="s">
        <v>1434</v>
      </c>
      <c r="D346" s="22" t="s">
        <v>64</v>
      </c>
      <c r="E346" s="22">
        <v>3</v>
      </c>
      <c r="F346" s="24">
        <v>623.34</v>
      </c>
      <c r="G346" s="22" t="s">
        <v>1435</v>
      </c>
      <c r="H346" s="22" t="s">
        <v>79</v>
      </c>
      <c r="I346" s="22" t="s">
        <v>73</v>
      </c>
      <c r="J346" s="22" t="s">
        <v>1436</v>
      </c>
      <c r="K346" s="22">
        <v>3</v>
      </c>
      <c r="L346" s="22" t="s">
        <v>83</v>
      </c>
      <c r="M346" s="22" t="s">
        <v>89</v>
      </c>
      <c r="N346" s="24">
        <v>1870.02</v>
      </c>
      <c r="O346" s="22">
        <f>YEAR(B346)</f>
        <v>2025</v>
      </c>
      <c r="P346" s="25">
        <f>DATE(YEAR(B346),MONTH(B346),1)</f>
        <v>45717</v>
      </c>
      <c r="Q346" s="22" t="str">
        <f>IF(N346&gt;Summary!$C$17,"Outlier","")</f>
        <v/>
      </c>
      <c r="R346" s="22" t="str">
        <f>IF(L346="","None",L346)</f>
        <v>SAVE10</v>
      </c>
    </row>
    <row r="347" spans="1:18" x14ac:dyDescent="0.2">
      <c r="A347" s="22" t="s">
        <v>1437</v>
      </c>
      <c r="B347" s="23">
        <v>45267</v>
      </c>
      <c r="C347" s="22" t="s">
        <v>1438</v>
      </c>
      <c r="D347" s="22" t="s">
        <v>64</v>
      </c>
      <c r="E347" s="22">
        <v>5</v>
      </c>
      <c r="F347" s="24">
        <v>501.26</v>
      </c>
      <c r="G347" s="22" t="s">
        <v>1439</v>
      </c>
      <c r="H347" s="22" t="s">
        <v>78</v>
      </c>
      <c r="I347" s="22" t="s">
        <v>70</v>
      </c>
      <c r="J347" s="22" t="s">
        <v>1440</v>
      </c>
      <c r="K347" s="22">
        <v>10</v>
      </c>
      <c r="L347" s="22" t="s">
        <v>82</v>
      </c>
      <c r="M347" s="22" t="s">
        <v>90</v>
      </c>
      <c r="N347" s="24">
        <v>2506.3000000000002</v>
      </c>
      <c r="O347" s="22">
        <f>YEAR(B347)</f>
        <v>2023</v>
      </c>
      <c r="P347" s="25">
        <f>DATE(YEAR(B347),MONTH(B347),1)</f>
        <v>45261</v>
      </c>
      <c r="Q347" s="22" t="str">
        <f>IF(N347&gt;Summary!$C$17,"Outlier","")</f>
        <v/>
      </c>
      <c r="R347" s="22" t="str">
        <f>IF(L347="","None",L347)</f>
        <v>FREESHIP</v>
      </c>
    </row>
    <row r="348" spans="1:18" x14ac:dyDescent="0.2">
      <c r="A348" s="22" t="s">
        <v>1441</v>
      </c>
      <c r="B348" s="23">
        <v>45632</v>
      </c>
      <c r="C348" s="22" t="s">
        <v>1442</v>
      </c>
      <c r="D348" s="22" t="s">
        <v>64</v>
      </c>
      <c r="E348" s="22">
        <v>1</v>
      </c>
      <c r="F348" s="24">
        <v>655.09</v>
      </c>
      <c r="G348" s="22" t="s">
        <v>1443</v>
      </c>
      <c r="H348" s="22" t="s">
        <v>75</v>
      </c>
      <c r="I348" s="22" t="s">
        <v>71</v>
      </c>
      <c r="J348" s="22" t="s">
        <v>1444</v>
      </c>
      <c r="K348" s="22">
        <v>6</v>
      </c>
      <c r="L348" s="22"/>
      <c r="M348" s="22" t="s">
        <v>90</v>
      </c>
      <c r="N348" s="24">
        <v>655.09</v>
      </c>
      <c r="O348" s="22">
        <f>YEAR(B348)</f>
        <v>2024</v>
      </c>
      <c r="P348" s="25">
        <f>DATE(YEAR(B348),MONTH(B348),1)</f>
        <v>45627</v>
      </c>
      <c r="Q348" s="22" t="str">
        <f>IF(N348&gt;Summary!$C$17,"Outlier","")</f>
        <v/>
      </c>
      <c r="R348" s="22" t="str">
        <f>IF(L348="","None",L348)</f>
        <v>None</v>
      </c>
    </row>
    <row r="349" spans="1:18" x14ac:dyDescent="0.2">
      <c r="A349" s="22" t="s">
        <v>1445</v>
      </c>
      <c r="B349" s="23">
        <v>45325</v>
      </c>
      <c r="C349" s="22" t="s">
        <v>1446</v>
      </c>
      <c r="D349" s="22" t="s">
        <v>62</v>
      </c>
      <c r="E349" s="22">
        <v>4</v>
      </c>
      <c r="F349" s="24">
        <v>264.79000000000002</v>
      </c>
      <c r="G349" s="22" t="s">
        <v>1447</v>
      </c>
      <c r="H349" s="22" t="s">
        <v>76</v>
      </c>
      <c r="I349" s="22" t="s">
        <v>71</v>
      </c>
      <c r="J349" s="22" t="s">
        <v>1448</v>
      </c>
      <c r="K349" s="22">
        <v>5</v>
      </c>
      <c r="L349" s="22" t="s">
        <v>83</v>
      </c>
      <c r="M349" s="22" t="s">
        <v>88</v>
      </c>
      <c r="N349" s="24">
        <v>1059.1600000000001</v>
      </c>
      <c r="O349" s="22">
        <f>YEAR(B349)</f>
        <v>2024</v>
      </c>
      <c r="P349" s="25">
        <f>DATE(YEAR(B349),MONTH(B349),1)</f>
        <v>45323</v>
      </c>
      <c r="Q349" s="22" t="str">
        <f>IF(N349&gt;Summary!$C$17,"Outlier","")</f>
        <v/>
      </c>
      <c r="R349" s="22" t="str">
        <f>IF(L349="","None",L349)</f>
        <v>SAVE10</v>
      </c>
    </row>
    <row r="350" spans="1:18" x14ac:dyDescent="0.2">
      <c r="A350" s="22" t="s">
        <v>1449</v>
      </c>
      <c r="B350" s="23">
        <v>45364</v>
      </c>
      <c r="C350" s="22" t="s">
        <v>1450</v>
      </c>
      <c r="D350" s="22" t="s">
        <v>63</v>
      </c>
      <c r="E350" s="22">
        <v>3</v>
      </c>
      <c r="F350" s="24">
        <v>359.73</v>
      </c>
      <c r="G350" s="22" t="s">
        <v>1451</v>
      </c>
      <c r="H350" s="22" t="s">
        <v>77</v>
      </c>
      <c r="I350" s="22" t="s">
        <v>72</v>
      </c>
      <c r="J350" s="22" t="s">
        <v>1452</v>
      </c>
      <c r="K350" s="22">
        <v>7</v>
      </c>
      <c r="L350" s="22" t="s">
        <v>82</v>
      </c>
      <c r="M350" s="22" t="s">
        <v>86</v>
      </c>
      <c r="N350" s="24">
        <v>1079.19</v>
      </c>
      <c r="O350" s="22">
        <f>YEAR(B350)</f>
        <v>2024</v>
      </c>
      <c r="P350" s="25">
        <f>DATE(YEAR(B350),MONTH(B350),1)</f>
        <v>45352</v>
      </c>
      <c r="Q350" s="22" t="str">
        <f>IF(N350&gt;Summary!$C$17,"Outlier","")</f>
        <v/>
      </c>
      <c r="R350" s="22" t="str">
        <f>IF(L350="","None",L350)</f>
        <v>FREESHIP</v>
      </c>
    </row>
    <row r="351" spans="1:18" x14ac:dyDescent="0.2">
      <c r="A351" s="22" t="s">
        <v>1453</v>
      </c>
      <c r="B351" s="23">
        <v>45260</v>
      </c>
      <c r="C351" s="22" t="s">
        <v>1454</v>
      </c>
      <c r="D351" s="22" t="s">
        <v>61</v>
      </c>
      <c r="E351" s="22">
        <v>1</v>
      </c>
      <c r="F351" s="24">
        <v>465.33</v>
      </c>
      <c r="G351" s="22" t="s">
        <v>1455</v>
      </c>
      <c r="H351" s="22" t="s">
        <v>78</v>
      </c>
      <c r="I351" s="22" t="s">
        <v>69</v>
      </c>
      <c r="J351" s="22" t="s">
        <v>1456</v>
      </c>
      <c r="K351" s="22">
        <v>2</v>
      </c>
      <c r="L351" s="22" t="s">
        <v>82</v>
      </c>
      <c r="M351" s="22" t="s">
        <v>88</v>
      </c>
      <c r="N351" s="24">
        <v>465.33</v>
      </c>
      <c r="O351" s="22">
        <f>YEAR(B351)</f>
        <v>2023</v>
      </c>
      <c r="P351" s="25">
        <f>DATE(YEAR(B351),MONTH(B351),1)</f>
        <v>45231</v>
      </c>
      <c r="Q351" s="22" t="str">
        <f>IF(N351&gt;Summary!$C$17,"Outlier","")</f>
        <v/>
      </c>
      <c r="R351" s="22" t="str">
        <f>IF(L351="","None",L351)</f>
        <v>FREESHIP</v>
      </c>
    </row>
    <row r="352" spans="1:18" x14ac:dyDescent="0.2">
      <c r="A352" s="22" t="s">
        <v>1457</v>
      </c>
      <c r="B352" s="23">
        <v>45080</v>
      </c>
      <c r="C352" s="22" t="s">
        <v>1458</v>
      </c>
      <c r="D352" s="22" t="s">
        <v>61</v>
      </c>
      <c r="E352" s="22">
        <v>2</v>
      </c>
      <c r="F352" s="24">
        <v>54.41</v>
      </c>
      <c r="G352" s="22" t="s">
        <v>1459</v>
      </c>
      <c r="H352" s="22" t="s">
        <v>79</v>
      </c>
      <c r="I352" s="22" t="s">
        <v>70</v>
      </c>
      <c r="J352" s="22" t="s">
        <v>1460</v>
      </c>
      <c r="K352" s="22">
        <v>6</v>
      </c>
      <c r="L352" s="22"/>
      <c r="M352" s="22" t="s">
        <v>89</v>
      </c>
      <c r="N352" s="24">
        <v>108.82</v>
      </c>
      <c r="O352" s="22">
        <f>YEAR(B352)</f>
        <v>2023</v>
      </c>
      <c r="P352" s="25">
        <f>DATE(YEAR(B352),MONTH(B352),1)</f>
        <v>45078</v>
      </c>
      <c r="Q352" s="22" t="str">
        <f>IF(N352&gt;Summary!$C$17,"Outlier","")</f>
        <v/>
      </c>
      <c r="R352" s="22" t="str">
        <f>IF(L352="","None",L352)</f>
        <v>None</v>
      </c>
    </row>
    <row r="353" spans="1:18" x14ac:dyDescent="0.2">
      <c r="A353" s="22" t="s">
        <v>1461</v>
      </c>
      <c r="B353" s="23">
        <v>45703</v>
      </c>
      <c r="C353" s="22" t="s">
        <v>1462</v>
      </c>
      <c r="D353" s="22" t="s">
        <v>63</v>
      </c>
      <c r="E353" s="22">
        <v>1</v>
      </c>
      <c r="F353" s="24">
        <v>64.66</v>
      </c>
      <c r="G353" s="22" t="s">
        <v>1463</v>
      </c>
      <c r="H353" s="22" t="s">
        <v>77</v>
      </c>
      <c r="I353" s="22" t="s">
        <v>69</v>
      </c>
      <c r="J353" s="22" t="s">
        <v>1464</v>
      </c>
      <c r="K353" s="22">
        <v>4</v>
      </c>
      <c r="L353" s="22"/>
      <c r="M353" s="22" t="s">
        <v>89</v>
      </c>
      <c r="N353" s="24">
        <v>64.66</v>
      </c>
      <c r="O353" s="22">
        <f>YEAR(B353)</f>
        <v>2025</v>
      </c>
      <c r="P353" s="25">
        <f>DATE(YEAR(B353),MONTH(B353),1)</f>
        <v>45689</v>
      </c>
      <c r="Q353" s="22" t="str">
        <f>IF(N353&gt;Summary!$C$17,"Outlier","")</f>
        <v/>
      </c>
      <c r="R353" s="22" t="str">
        <f>IF(L353="","None",L353)</f>
        <v>None</v>
      </c>
    </row>
    <row r="354" spans="1:18" x14ac:dyDescent="0.2">
      <c r="A354" s="22" t="s">
        <v>1465</v>
      </c>
      <c r="B354" s="23">
        <v>45169</v>
      </c>
      <c r="C354" s="22" t="s">
        <v>1466</v>
      </c>
      <c r="D354" s="22" t="s">
        <v>61</v>
      </c>
      <c r="E354" s="22">
        <v>5</v>
      </c>
      <c r="F354" s="24">
        <v>173.96</v>
      </c>
      <c r="G354" s="22" t="s">
        <v>1467</v>
      </c>
      <c r="H354" s="22" t="s">
        <v>77</v>
      </c>
      <c r="I354" s="22" t="s">
        <v>71</v>
      </c>
      <c r="J354" s="22" t="s">
        <v>1468</v>
      </c>
      <c r="K354" s="22">
        <v>8</v>
      </c>
      <c r="L354" s="22" t="s">
        <v>84</v>
      </c>
      <c r="M354" s="22" t="s">
        <v>89</v>
      </c>
      <c r="N354" s="24">
        <v>869.8</v>
      </c>
      <c r="O354" s="22">
        <f>YEAR(B354)</f>
        <v>2023</v>
      </c>
      <c r="P354" s="25">
        <f>DATE(YEAR(B354),MONTH(B354),1)</f>
        <v>45139</v>
      </c>
      <c r="Q354" s="22" t="str">
        <f>IF(N354&gt;Summary!$C$17,"Outlier","")</f>
        <v/>
      </c>
      <c r="R354" s="22" t="str">
        <f>IF(L354="","None",L354)</f>
        <v>WINTER15</v>
      </c>
    </row>
    <row r="355" spans="1:18" x14ac:dyDescent="0.2">
      <c r="A355" s="22" t="s">
        <v>1469</v>
      </c>
      <c r="B355" s="23">
        <v>45744</v>
      </c>
      <c r="C355" s="22" t="s">
        <v>1470</v>
      </c>
      <c r="D355" s="22" t="s">
        <v>64</v>
      </c>
      <c r="E355" s="22">
        <v>1</v>
      </c>
      <c r="F355" s="24">
        <v>630.82000000000005</v>
      </c>
      <c r="G355" s="22" t="s">
        <v>1471</v>
      </c>
      <c r="H355" s="22" t="s">
        <v>79</v>
      </c>
      <c r="I355" s="22" t="s">
        <v>69</v>
      </c>
      <c r="J355" s="22" t="s">
        <v>1472</v>
      </c>
      <c r="K355" s="22">
        <v>5</v>
      </c>
      <c r="L355" s="22" t="s">
        <v>82</v>
      </c>
      <c r="M355" s="22" t="s">
        <v>88</v>
      </c>
      <c r="N355" s="24">
        <v>630.82000000000005</v>
      </c>
      <c r="O355" s="22">
        <f>YEAR(B355)</f>
        <v>2025</v>
      </c>
      <c r="P355" s="25">
        <f>DATE(YEAR(B355),MONTH(B355),1)</f>
        <v>45717</v>
      </c>
      <c r="Q355" s="22" t="str">
        <f>IF(N355&gt;Summary!$C$17,"Outlier","")</f>
        <v/>
      </c>
      <c r="R355" s="22" t="str">
        <f>IF(L355="","None",L355)</f>
        <v>FREESHIP</v>
      </c>
    </row>
    <row r="356" spans="1:18" x14ac:dyDescent="0.2">
      <c r="A356" s="22" t="s">
        <v>1473</v>
      </c>
      <c r="B356" s="23">
        <v>45118</v>
      </c>
      <c r="C356" s="22" t="s">
        <v>1474</v>
      </c>
      <c r="D356" s="22" t="s">
        <v>67</v>
      </c>
      <c r="E356" s="22">
        <v>1</v>
      </c>
      <c r="F356" s="24">
        <v>693.41</v>
      </c>
      <c r="G356" s="22" t="s">
        <v>1475</v>
      </c>
      <c r="H356" s="22" t="s">
        <v>77</v>
      </c>
      <c r="I356" s="22" t="s">
        <v>70</v>
      </c>
      <c r="J356" s="22" t="s">
        <v>1476</v>
      </c>
      <c r="K356" s="22">
        <v>4</v>
      </c>
      <c r="L356" s="22"/>
      <c r="M356" s="22" t="s">
        <v>89</v>
      </c>
      <c r="N356" s="24">
        <v>693.41</v>
      </c>
      <c r="O356" s="22">
        <f>YEAR(B356)</f>
        <v>2023</v>
      </c>
      <c r="P356" s="25">
        <f>DATE(YEAR(B356),MONTH(B356),1)</f>
        <v>45108</v>
      </c>
      <c r="Q356" s="22" t="str">
        <f>IF(N356&gt;Summary!$C$17,"Outlier","")</f>
        <v/>
      </c>
      <c r="R356" s="22" t="str">
        <f>IF(L356="","None",L356)</f>
        <v>None</v>
      </c>
    </row>
    <row r="357" spans="1:18" x14ac:dyDescent="0.2">
      <c r="A357" s="22" t="s">
        <v>1477</v>
      </c>
      <c r="B357" s="23">
        <v>45811</v>
      </c>
      <c r="C357" s="22" t="s">
        <v>1478</v>
      </c>
      <c r="D357" s="22" t="s">
        <v>64</v>
      </c>
      <c r="E357" s="22">
        <v>3</v>
      </c>
      <c r="F357" s="24">
        <v>433.33</v>
      </c>
      <c r="G357" s="22" t="s">
        <v>1479</v>
      </c>
      <c r="H357" s="22" t="s">
        <v>76</v>
      </c>
      <c r="I357" s="22" t="s">
        <v>73</v>
      </c>
      <c r="J357" s="22" t="s">
        <v>1480</v>
      </c>
      <c r="K357" s="22">
        <v>4</v>
      </c>
      <c r="L357" s="22" t="s">
        <v>82</v>
      </c>
      <c r="M357" s="22" t="s">
        <v>90</v>
      </c>
      <c r="N357" s="24">
        <v>1299.99</v>
      </c>
      <c r="O357" s="22">
        <f>YEAR(B357)</f>
        <v>2025</v>
      </c>
      <c r="P357" s="25">
        <f>DATE(YEAR(B357),MONTH(B357),1)</f>
        <v>45809</v>
      </c>
      <c r="Q357" s="22" t="str">
        <f>IF(N357&gt;Summary!$C$17,"Outlier","")</f>
        <v/>
      </c>
      <c r="R357" s="22" t="str">
        <f>IF(L357="","None",L357)</f>
        <v>FREESHIP</v>
      </c>
    </row>
    <row r="358" spans="1:18" x14ac:dyDescent="0.2">
      <c r="A358" s="22" t="s">
        <v>1481</v>
      </c>
      <c r="B358" s="23">
        <v>45052</v>
      </c>
      <c r="C358" s="22" t="s">
        <v>1482</v>
      </c>
      <c r="D358" s="22" t="s">
        <v>62</v>
      </c>
      <c r="E358" s="22">
        <v>5</v>
      </c>
      <c r="F358" s="24">
        <v>374.58</v>
      </c>
      <c r="G358" s="22" t="s">
        <v>1483</v>
      </c>
      <c r="H358" s="22" t="s">
        <v>78</v>
      </c>
      <c r="I358" s="22" t="s">
        <v>73</v>
      </c>
      <c r="J358" s="22" t="s">
        <v>1484</v>
      </c>
      <c r="K358" s="22">
        <v>10</v>
      </c>
      <c r="L358" s="22" t="s">
        <v>82</v>
      </c>
      <c r="M358" s="22" t="s">
        <v>89</v>
      </c>
      <c r="N358" s="24">
        <v>1872.9</v>
      </c>
      <c r="O358" s="22">
        <f>YEAR(B358)</f>
        <v>2023</v>
      </c>
      <c r="P358" s="25">
        <f>DATE(YEAR(B358),MONTH(B358),1)</f>
        <v>45047</v>
      </c>
      <c r="Q358" s="22" t="str">
        <f>IF(N358&gt;Summary!$C$17,"Outlier","")</f>
        <v/>
      </c>
      <c r="R358" s="22" t="str">
        <f>IF(L358="","None",L358)</f>
        <v>FREESHIP</v>
      </c>
    </row>
    <row r="359" spans="1:18" x14ac:dyDescent="0.2">
      <c r="A359" s="22" t="s">
        <v>1485</v>
      </c>
      <c r="B359" s="23">
        <v>45115</v>
      </c>
      <c r="C359" s="22" t="s">
        <v>1486</v>
      </c>
      <c r="D359" s="22" t="s">
        <v>63</v>
      </c>
      <c r="E359" s="22">
        <v>5</v>
      </c>
      <c r="F359" s="24">
        <v>408.56</v>
      </c>
      <c r="G359" s="22" t="s">
        <v>1415</v>
      </c>
      <c r="H359" s="22" t="s">
        <v>77</v>
      </c>
      <c r="I359" s="22" t="s">
        <v>69</v>
      </c>
      <c r="J359" s="22" t="s">
        <v>1487</v>
      </c>
      <c r="K359" s="22">
        <v>8</v>
      </c>
      <c r="L359" s="22" t="s">
        <v>82</v>
      </c>
      <c r="M359" s="22" t="s">
        <v>89</v>
      </c>
      <c r="N359" s="24">
        <v>2042.8</v>
      </c>
      <c r="O359" s="22">
        <f>YEAR(B359)</f>
        <v>2023</v>
      </c>
      <c r="P359" s="25">
        <f>DATE(YEAR(B359),MONTH(B359),1)</f>
        <v>45108</v>
      </c>
      <c r="Q359" s="22" t="str">
        <f>IF(N359&gt;Summary!$C$17,"Outlier","")</f>
        <v/>
      </c>
      <c r="R359" s="22" t="str">
        <f>IF(L359="","None",L359)</f>
        <v>FREESHIP</v>
      </c>
    </row>
    <row r="360" spans="1:18" x14ac:dyDescent="0.2">
      <c r="A360" s="22" t="s">
        <v>1488</v>
      </c>
      <c r="B360" s="23">
        <v>45389</v>
      </c>
      <c r="C360" s="22" t="s">
        <v>1489</v>
      </c>
      <c r="D360" s="22" t="s">
        <v>64</v>
      </c>
      <c r="E360" s="22">
        <v>2</v>
      </c>
      <c r="F360" s="24">
        <v>183.67</v>
      </c>
      <c r="G360" s="22" t="s">
        <v>1490</v>
      </c>
      <c r="H360" s="22" t="s">
        <v>79</v>
      </c>
      <c r="I360" s="22" t="s">
        <v>73</v>
      </c>
      <c r="J360" s="22" t="s">
        <v>1491</v>
      </c>
      <c r="K360" s="22">
        <v>3</v>
      </c>
      <c r="L360" s="22" t="s">
        <v>83</v>
      </c>
      <c r="M360" s="22" t="s">
        <v>88</v>
      </c>
      <c r="N360" s="24">
        <v>367.34</v>
      </c>
      <c r="O360" s="22">
        <f>YEAR(B360)</f>
        <v>2024</v>
      </c>
      <c r="P360" s="25">
        <f>DATE(YEAR(B360),MONTH(B360),1)</f>
        <v>45383</v>
      </c>
      <c r="Q360" s="22" t="str">
        <f>IF(N360&gt;Summary!$C$17,"Outlier","")</f>
        <v/>
      </c>
      <c r="R360" s="22" t="str">
        <f>IF(L360="","None",L360)</f>
        <v>SAVE10</v>
      </c>
    </row>
    <row r="361" spans="1:18" x14ac:dyDescent="0.2">
      <c r="A361" s="22" t="s">
        <v>1492</v>
      </c>
      <c r="B361" s="23">
        <v>45086</v>
      </c>
      <c r="C361" s="22" t="s">
        <v>1493</v>
      </c>
      <c r="D361" s="22" t="s">
        <v>66</v>
      </c>
      <c r="E361" s="22">
        <v>4</v>
      </c>
      <c r="F361" s="24">
        <v>606.57000000000005</v>
      </c>
      <c r="G361" s="22" t="s">
        <v>1494</v>
      </c>
      <c r="H361" s="22" t="s">
        <v>77</v>
      </c>
      <c r="I361" s="22" t="s">
        <v>69</v>
      </c>
      <c r="J361" s="22" t="s">
        <v>1495</v>
      </c>
      <c r="K361" s="22">
        <v>5</v>
      </c>
      <c r="L361" s="22" t="s">
        <v>84</v>
      </c>
      <c r="M361" s="22" t="s">
        <v>90</v>
      </c>
      <c r="N361" s="24">
        <v>2426.2800000000002</v>
      </c>
      <c r="O361" s="22">
        <f>YEAR(B361)</f>
        <v>2023</v>
      </c>
      <c r="P361" s="25">
        <f>DATE(YEAR(B361),MONTH(B361),1)</f>
        <v>45078</v>
      </c>
      <c r="Q361" s="22" t="str">
        <f>IF(N361&gt;Summary!$C$17,"Outlier","")</f>
        <v/>
      </c>
      <c r="R361" s="22" t="str">
        <f>IF(L361="","None",L361)</f>
        <v>WINTER15</v>
      </c>
    </row>
    <row r="362" spans="1:18" x14ac:dyDescent="0.2">
      <c r="A362" s="22" t="s">
        <v>1496</v>
      </c>
      <c r="B362" s="23">
        <v>45449</v>
      </c>
      <c r="C362" s="22" t="s">
        <v>1497</v>
      </c>
      <c r="D362" s="22" t="s">
        <v>67</v>
      </c>
      <c r="E362" s="22">
        <v>4</v>
      </c>
      <c r="F362" s="24">
        <v>589.57000000000005</v>
      </c>
      <c r="G362" s="22" t="s">
        <v>1498</v>
      </c>
      <c r="H362" s="22" t="s">
        <v>75</v>
      </c>
      <c r="I362" s="22" t="s">
        <v>71</v>
      </c>
      <c r="J362" s="22" t="s">
        <v>1499</v>
      </c>
      <c r="K362" s="22">
        <v>8</v>
      </c>
      <c r="L362" s="22"/>
      <c r="M362" s="22" t="s">
        <v>89</v>
      </c>
      <c r="N362" s="24">
        <v>2358.2800000000002</v>
      </c>
      <c r="O362" s="22">
        <f>YEAR(B362)</f>
        <v>2024</v>
      </c>
      <c r="P362" s="25">
        <f>DATE(YEAR(B362),MONTH(B362),1)</f>
        <v>45444</v>
      </c>
      <c r="Q362" s="22" t="str">
        <f>IF(N362&gt;Summary!$C$17,"Outlier","")</f>
        <v/>
      </c>
      <c r="R362" s="22" t="str">
        <f>IF(L362="","None",L362)</f>
        <v>None</v>
      </c>
    </row>
    <row r="363" spans="1:18" x14ac:dyDescent="0.2">
      <c r="A363" s="22" t="s">
        <v>1500</v>
      </c>
      <c r="B363" s="23">
        <v>45472</v>
      </c>
      <c r="C363" s="22" t="s">
        <v>1501</v>
      </c>
      <c r="D363" s="22" t="s">
        <v>62</v>
      </c>
      <c r="E363" s="22">
        <v>5</v>
      </c>
      <c r="F363" s="24">
        <v>659.85</v>
      </c>
      <c r="G363" s="22" t="s">
        <v>1502</v>
      </c>
      <c r="H363" s="22" t="s">
        <v>76</v>
      </c>
      <c r="I363" s="22" t="s">
        <v>69</v>
      </c>
      <c r="J363" s="22" t="s">
        <v>1503</v>
      </c>
      <c r="K363" s="22">
        <v>9</v>
      </c>
      <c r="L363" s="22" t="s">
        <v>83</v>
      </c>
      <c r="M363" s="22" t="s">
        <v>87</v>
      </c>
      <c r="N363" s="24">
        <v>3299.25</v>
      </c>
      <c r="O363" s="22">
        <f>YEAR(B363)</f>
        <v>2024</v>
      </c>
      <c r="P363" s="25">
        <f>DATE(YEAR(B363),MONTH(B363),1)</f>
        <v>45444</v>
      </c>
      <c r="Q363" s="22" t="str">
        <f>IF(N363&gt;Summary!$C$17,"Outlier","")</f>
        <v/>
      </c>
      <c r="R363" s="22" t="str">
        <f>IF(L363="","None",L363)</f>
        <v>SAVE10</v>
      </c>
    </row>
    <row r="364" spans="1:18" x14ac:dyDescent="0.2">
      <c r="A364" s="22" t="s">
        <v>1504</v>
      </c>
      <c r="B364" s="23">
        <v>45104</v>
      </c>
      <c r="C364" s="22" t="s">
        <v>1505</v>
      </c>
      <c r="D364" s="22" t="s">
        <v>65</v>
      </c>
      <c r="E364" s="22">
        <v>4</v>
      </c>
      <c r="F364" s="24">
        <v>206.84</v>
      </c>
      <c r="G364" s="22" t="s">
        <v>1506</v>
      </c>
      <c r="H364" s="22" t="s">
        <v>75</v>
      </c>
      <c r="I364" s="22" t="s">
        <v>73</v>
      </c>
      <c r="J364" s="22" t="s">
        <v>1507</v>
      </c>
      <c r="K364" s="22">
        <v>5</v>
      </c>
      <c r="L364" s="22" t="s">
        <v>84</v>
      </c>
      <c r="M364" s="22" t="s">
        <v>89</v>
      </c>
      <c r="N364" s="24">
        <v>827.36</v>
      </c>
      <c r="O364" s="22">
        <f>YEAR(B364)</f>
        <v>2023</v>
      </c>
      <c r="P364" s="25">
        <f>DATE(YEAR(B364),MONTH(B364),1)</f>
        <v>45078</v>
      </c>
      <c r="Q364" s="22" t="str">
        <f>IF(N364&gt;Summary!$C$17,"Outlier","")</f>
        <v/>
      </c>
      <c r="R364" s="22" t="str">
        <f>IF(L364="","None",L364)</f>
        <v>WINTER15</v>
      </c>
    </row>
    <row r="365" spans="1:18" x14ac:dyDescent="0.2">
      <c r="A365" s="22" t="s">
        <v>1508</v>
      </c>
      <c r="B365" s="23">
        <v>45436</v>
      </c>
      <c r="C365" s="22" t="s">
        <v>1509</v>
      </c>
      <c r="D365" s="22" t="s">
        <v>63</v>
      </c>
      <c r="E365" s="22">
        <v>5</v>
      </c>
      <c r="F365" s="24">
        <v>113.87</v>
      </c>
      <c r="G365" s="22" t="s">
        <v>290</v>
      </c>
      <c r="H365" s="22" t="s">
        <v>76</v>
      </c>
      <c r="I365" s="22" t="s">
        <v>71</v>
      </c>
      <c r="J365" s="22" t="s">
        <v>1510</v>
      </c>
      <c r="K365" s="22">
        <v>6</v>
      </c>
      <c r="L365" s="22" t="s">
        <v>83</v>
      </c>
      <c r="M365" s="22" t="s">
        <v>86</v>
      </c>
      <c r="N365" s="24">
        <v>569.35</v>
      </c>
      <c r="O365" s="22">
        <f>YEAR(B365)</f>
        <v>2024</v>
      </c>
      <c r="P365" s="25">
        <f>DATE(YEAR(B365),MONTH(B365),1)</f>
        <v>45413</v>
      </c>
      <c r="Q365" s="22" t="str">
        <f>IF(N365&gt;Summary!$C$17,"Outlier","")</f>
        <v/>
      </c>
      <c r="R365" s="22" t="str">
        <f>IF(L365="","None",L365)</f>
        <v>SAVE10</v>
      </c>
    </row>
    <row r="366" spans="1:18" x14ac:dyDescent="0.2">
      <c r="A366" s="22" t="s">
        <v>1511</v>
      </c>
      <c r="B366" s="23">
        <v>45254</v>
      </c>
      <c r="C366" s="22" t="s">
        <v>1512</v>
      </c>
      <c r="D366" s="22" t="s">
        <v>67</v>
      </c>
      <c r="E366" s="22">
        <v>5</v>
      </c>
      <c r="F366" s="24">
        <v>628.74</v>
      </c>
      <c r="G366" s="22" t="s">
        <v>1198</v>
      </c>
      <c r="H366" s="22" t="s">
        <v>75</v>
      </c>
      <c r="I366" s="22" t="s">
        <v>73</v>
      </c>
      <c r="J366" s="22" t="s">
        <v>1513</v>
      </c>
      <c r="K366" s="22">
        <v>9</v>
      </c>
      <c r="L366" s="22" t="s">
        <v>82</v>
      </c>
      <c r="M366" s="22" t="s">
        <v>87</v>
      </c>
      <c r="N366" s="24">
        <v>3143.7</v>
      </c>
      <c r="O366" s="22">
        <f>YEAR(B366)</f>
        <v>2023</v>
      </c>
      <c r="P366" s="25">
        <f>DATE(YEAR(B366),MONTH(B366),1)</f>
        <v>45231</v>
      </c>
      <c r="Q366" s="22" t="str">
        <f>IF(N366&gt;Summary!$C$17,"Outlier","")</f>
        <v/>
      </c>
      <c r="R366" s="22" t="str">
        <f>IF(L366="","None",L366)</f>
        <v>FREESHIP</v>
      </c>
    </row>
    <row r="367" spans="1:18" x14ac:dyDescent="0.2">
      <c r="A367" s="22" t="s">
        <v>1514</v>
      </c>
      <c r="B367" s="23">
        <v>45702</v>
      </c>
      <c r="C367" s="22" t="s">
        <v>1515</v>
      </c>
      <c r="D367" s="22" t="s">
        <v>67</v>
      </c>
      <c r="E367" s="22">
        <v>1</v>
      </c>
      <c r="F367" s="24">
        <v>678.38</v>
      </c>
      <c r="G367" s="22" t="s">
        <v>1388</v>
      </c>
      <c r="H367" s="22" t="s">
        <v>76</v>
      </c>
      <c r="I367" s="22" t="s">
        <v>73</v>
      </c>
      <c r="J367" s="22" t="s">
        <v>1516</v>
      </c>
      <c r="K367" s="22">
        <v>4</v>
      </c>
      <c r="L367" s="22" t="s">
        <v>83</v>
      </c>
      <c r="M367" s="22" t="s">
        <v>90</v>
      </c>
      <c r="N367" s="24">
        <v>678.38</v>
      </c>
      <c r="O367" s="22">
        <f>YEAR(B367)</f>
        <v>2025</v>
      </c>
      <c r="P367" s="25">
        <f>DATE(YEAR(B367),MONTH(B367),1)</f>
        <v>45689</v>
      </c>
      <c r="Q367" s="22" t="str">
        <f>IF(N367&gt;Summary!$C$17,"Outlier","")</f>
        <v/>
      </c>
      <c r="R367" s="22" t="str">
        <f>IF(L367="","None",L367)</f>
        <v>SAVE10</v>
      </c>
    </row>
    <row r="368" spans="1:18" x14ac:dyDescent="0.2">
      <c r="A368" s="22" t="s">
        <v>1517</v>
      </c>
      <c r="B368" s="23">
        <v>44967</v>
      </c>
      <c r="C368" s="22" t="s">
        <v>1518</v>
      </c>
      <c r="D368" s="22" t="s">
        <v>62</v>
      </c>
      <c r="E368" s="22">
        <v>3</v>
      </c>
      <c r="F368" s="24">
        <v>602.24</v>
      </c>
      <c r="G368" s="22" t="s">
        <v>1519</v>
      </c>
      <c r="H368" s="22" t="s">
        <v>77</v>
      </c>
      <c r="I368" s="22" t="s">
        <v>71</v>
      </c>
      <c r="J368" s="22" t="s">
        <v>1520</v>
      </c>
      <c r="K368" s="22">
        <v>8</v>
      </c>
      <c r="L368" s="22"/>
      <c r="M368" s="22" t="s">
        <v>90</v>
      </c>
      <c r="N368" s="24">
        <v>1806.72</v>
      </c>
      <c r="O368" s="22">
        <f>YEAR(B368)</f>
        <v>2023</v>
      </c>
      <c r="P368" s="25">
        <f>DATE(YEAR(B368),MONTH(B368),1)</f>
        <v>44958</v>
      </c>
      <c r="Q368" s="22" t="str">
        <f>IF(N368&gt;Summary!$C$17,"Outlier","")</f>
        <v/>
      </c>
      <c r="R368" s="22" t="str">
        <f>IF(L368="","None",L368)</f>
        <v>None</v>
      </c>
    </row>
    <row r="369" spans="1:18" x14ac:dyDescent="0.2">
      <c r="A369" s="22" t="s">
        <v>1521</v>
      </c>
      <c r="B369" s="23">
        <v>45407</v>
      </c>
      <c r="C369" s="22" t="s">
        <v>1522</v>
      </c>
      <c r="D369" s="22" t="s">
        <v>63</v>
      </c>
      <c r="E369" s="22">
        <v>5</v>
      </c>
      <c r="F369" s="24">
        <v>658.77</v>
      </c>
      <c r="G369" s="22" t="s">
        <v>1109</v>
      </c>
      <c r="H369" s="22" t="s">
        <v>78</v>
      </c>
      <c r="I369" s="22" t="s">
        <v>71</v>
      </c>
      <c r="J369" s="22" t="s">
        <v>1523</v>
      </c>
      <c r="K369" s="22">
        <v>10</v>
      </c>
      <c r="L369" s="22" t="s">
        <v>82</v>
      </c>
      <c r="M369" s="22" t="s">
        <v>89</v>
      </c>
      <c r="N369" s="24">
        <v>3293.85</v>
      </c>
      <c r="O369" s="22">
        <f>YEAR(B369)</f>
        <v>2024</v>
      </c>
      <c r="P369" s="25">
        <f>DATE(YEAR(B369),MONTH(B369),1)</f>
        <v>45383</v>
      </c>
      <c r="Q369" s="22" t="str">
        <f>IF(N369&gt;Summary!$C$17,"Outlier","")</f>
        <v/>
      </c>
      <c r="R369" s="22" t="str">
        <f>IF(L369="","None",L369)</f>
        <v>FREESHIP</v>
      </c>
    </row>
    <row r="370" spans="1:18" x14ac:dyDescent="0.2">
      <c r="A370" s="22" t="s">
        <v>1524</v>
      </c>
      <c r="B370" s="23">
        <v>45047</v>
      </c>
      <c r="C370" s="22" t="s">
        <v>1525</v>
      </c>
      <c r="D370" s="22" t="s">
        <v>65</v>
      </c>
      <c r="E370" s="22">
        <v>3</v>
      </c>
      <c r="F370" s="24">
        <v>271.02</v>
      </c>
      <c r="G370" s="22" t="s">
        <v>1526</v>
      </c>
      <c r="H370" s="22" t="s">
        <v>76</v>
      </c>
      <c r="I370" s="22" t="s">
        <v>73</v>
      </c>
      <c r="J370" s="22" t="s">
        <v>1527</v>
      </c>
      <c r="K370" s="22">
        <v>6</v>
      </c>
      <c r="L370" s="22"/>
      <c r="M370" s="22" t="s">
        <v>88</v>
      </c>
      <c r="N370" s="24">
        <v>813.06</v>
      </c>
      <c r="O370" s="22">
        <f>YEAR(B370)</f>
        <v>2023</v>
      </c>
      <c r="P370" s="25">
        <f>DATE(YEAR(B370),MONTH(B370),1)</f>
        <v>45047</v>
      </c>
      <c r="Q370" s="22" t="str">
        <f>IF(N370&gt;Summary!$C$17,"Outlier","")</f>
        <v/>
      </c>
      <c r="R370" s="22" t="str">
        <f>IF(L370="","None",L370)</f>
        <v>None</v>
      </c>
    </row>
    <row r="371" spans="1:18" x14ac:dyDescent="0.2">
      <c r="A371" s="22" t="s">
        <v>1528</v>
      </c>
      <c r="B371" s="23">
        <v>45648</v>
      </c>
      <c r="C371" s="22" t="s">
        <v>1529</v>
      </c>
      <c r="D371" s="22" t="s">
        <v>65</v>
      </c>
      <c r="E371" s="22">
        <v>5</v>
      </c>
      <c r="F371" s="24">
        <v>375.25</v>
      </c>
      <c r="G371" s="22" t="s">
        <v>1530</v>
      </c>
      <c r="H371" s="22" t="s">
        <v>78</v>
      </c>
      <c r="I371" s="22" t="s">
        <v>71</v>
      </c>
      <c r="J371" s="22" t="s">
        <v>1531</v>
      </c>
      <c r="K371" s="22">
        <v>9</v>
      </c>
      <c r="L371" s="22" t="s">
        <v>83</v>
      </c>
      <c r="M371" s="22" t="s">
        <v>86</v>
      </c>
      <c r="N371" s="24">
        <v>1876.25</v>
      </c>
      <c r="O371" s="22">
        <f>YEAR(B371)</f>
        <v>2024</v>
      </c>
      <c r="P371" s="25">
        <f>DATE(YEAR(B371),MONTH(B371),1)</f>
        <v>45627</v>
      </c>
      <c r="Q371" s="22" t="str">
        <f>IF(N371&gt;Summary!$C$17,"Outlier","")</f>
        <v/>
      </c>
      <c r="R371" s="22" t="str">
        <f>IF(L371="","None",L371)</f>
        <v>SAVE10</v>
      </c>
    </row>
    <row r="372" spans="1:18" x14ac:dyDescent="0.2">
      <c r="A372" s="22" t="s">
        <v>1532</v>
      </c>
      <c r="B372" s="23">
        <v>45780</v>
      </c>
      <c r="C372" s="22" t="s">
        <v>1533</v>
      </c>
      <c r="D372" s="22" t="s">
        <v>67</v>
      </c>
      <c r="E372" s="22">
        <v>1</v>
      </c>
      <c r="F372" s="24">
        <v>312.11</v>
      </c>
      <c r="G372" s="22" t="s">
        <v>1534</v>
      </c>
      <c r="H372" s="22" t="s">
        <v>79</v>
      </c>
      <c r="I372" s="22" t="s">
        <v>73</v>
      </c>
      <c r="J372" s="22" t="s">
        <v>1535</v>
      </c>
      <c r="K372" s="22">
        <v>4</v>
      </c>
      <c r="L372" s="22" t="s">
        <v>84</v>
      </c>
      <c r="M372" s="22" t="s">
        <v>87</v>
      </c>
      <c r="N372" s="24">
        <v>312.11</v>
      </c>
      <c r="O372" s="22">
        <f>YEAR(B372)</f>
        <v>2025</v>
      </c>
      <c r="P372" s="25">
        <f>DATE(YEAR(B372),MONTH(B372),1)</f>
        <v>45778</v>
      </c>
      <c r="Q372" s="22" t="str">
        <f>IF(N372&gt;Summary!$C$17,"Outlier","")</f>
        <v/>
      </c>
      <c r="R372" s="22" t="str">
        <f>IF(L372="","None",L372)</f>
        <v>WINTER15</v>
      </c>
    </row>
    <row r="373" spans="1:18" x14ac:dyDescent="0.2">
      <c r="A373" s="22" t="s">
        <v>1536</v>
      </c>
      <c r="B373" s="23">
        <v>44931</v>
      </c>
      <c r="C373" s="22" t="s">
        <v>1537</v>
      </c>
      <c r="D373" s="22" t="s">
        <v>67</v>
      </c>
      <c r="E373" s="22">
        <v>5</v>
      </c>
      <c r="F373" s="24">
        <v>307.76</v>
      </c>
      <c r="G373" s="22" t="s">
        <v>167</v>
      </c>
      <c r="H373" s="22" t="s">
        <v>78</v>
      </c>
      <c r="I373" s="22" t="s">
        <v>71</v>
      </c>
      <c r="J373" s="22" t="s">
        <v>1538</v>
      </c>
      <c r="K373" s="22">
        <v>9</v>
      </c>
      <c r="L373" s="22" t="s">
        <v>82</v>
      </c>
      <c r="M373" s="22" t="s">
        <v>88</v>
      </c>
      <c r="N373" s="24">
        <v>1538.8</v>
      </c>
      <c r="O373" s="22">
        <f>YEAR(B373)</f>
        <v>2023</v>
      </c>
      <c r="P373" s="25">
        <f>DATE(YEAR(B373),MONTH(B373),1)</f>
        <v>44927</v>
      </c>
      <c r="Q373" s="22" t="str">
        <f>IF(N373&gt;Summary!$C$17,"Outlier","")</f>
        <v/>
      </c>
      <c r="R373" s="22" t="str">
        <f>IF(L373="","None",L373)</f>
        <v>FREESHIP</v>
      </c>
    </row>
    <row r="374" spans="1:18" x14ac:dyDescent="0.2">
      <c r="A374" s="22" t="s">
        <v>1539</v>
      </c>
      <c r="B374" s="23">
        <v>45702</v>
      </c>
      <c r="C374" s="22" t="s">
        <v>1540</v>
      </c>
      <c r="D374" s="22" t="s">
        <v>61</v>
      </c>
      <c r="E374" s="22">
        <v>3</v>
      </c>
      <c r="F374" s="24">
        <v>483.53</v>
      </c>
      <c r="G374" s="22" t="s">
        <v>1541</v>
      </c>
      <c r="H374" s="22" t="s">
        <v>75</v>
      </c>
      <c r="I374" s="22" t="s">
        <v>72</v>
      </c>
      <c r="J374" s="22" t="s">
        <v>1542</v>
      </c>
      <c r="K374" s="22">
        <v>4</v>
      </c>
      <c r="L374" s="22"/>
      <c r="M374" s="22" t="s">
        <v>90</v>
      </c>
      <c r="N374" s="24">
        <v>1450.59</v>
      </c>
      <c r="O374" s="22">
        <f>YEAR(B374)</f>
        <v>2025</v>
      </c>
      <c r="P374" s="25">
        <f>DATE(YEAR(B374),MONTH(B374),1)</f>
        <v>45689</v>
      </c>
      <c r="Q374" s="22" t="str">
        <f>IF(N374&gt;Summary!$C$17,"Outlier","")</f>
        <v/>
      </c>
      <c r="R374" s="22" t="str">
        <f>IF(L374="","None",L374)</f>
        <v>None</v>
      </c>
    </row>
    <row r="375" spans="1:18" x14ac:dyDescent="0.2">
      <c r="A375" s="22" t="s">
        <v>1543</v>
      </c>
      <c r="B375" s="23">
        <v>44928</v>
      </c>
      <c r="C375" s="22" t="s">
        <v>1544</v>
      </c>
      <c r="D375" s="22" t="s">
        <v>63</v>
      </c>
      <c r="E375" s="22">
        <v>3</v>
      </c>
      <c r="F375" s="24">
        <v>341.15</v>
      </c>
      <c r="G375" s="22" t="s">
        <v>1545</v>
      </c>
      <c r="H375" s="22" t="s">
        <v>75</v>
      </c>
      <c r="I375" s="22" t="s">
        <v>71</v>
      </c>
      <c r="J375" s="22" t="s">
        <v>1546</v>
      </c>
      <c r="K375" s="22">
        <v>4</v>
      </c>
      <c r="L375" s="22" t="s">
        <v>82</v>
      </c>
      <c r="M375" s="22" t="s">
        <v>89</v>
      </c>
      <c r="N375" s="24">
        <v>1023.45</v>
      </c>
      <c r="O375" s="22">
        <f>YEAR(B375)</f>
        <v>2023</v>
      </c>
      <c r="P375" s="25">
        <f>DATE(YEAR(B375),MONTH(B375),1)</f>
        <v>44927</v>
      </c>
      <c r="Q375" s="22" t="str">
        <f>IF(N375&gt;Summary!$C$17,"Outlier","")</f>
        <v/>
      </c>
      <c r="R375" s="22" t="str">
        <f>IF(L375="","None",L375)</f>
        <v>FREESHIP</v>
      </c>
    </row>
    <row r="376" spans="1:18" x14ac:dyDescent="0.2">
      <c r="A376" s="22" t="s">
        <v>1547</v>
      </c>
      <c r="B376" s="23">
        <v>45551</v>
      </c>
      <c r="C376" s="22" t="s">
        <v>1548</v>
      </c>
      <c r="D376" s="22" t="s">
        <v>65</v>
      </c>
      <c r="E376" s="22">
        <v>1</v>
      </c>
      <c r="F376" s="24">
        <v>571.9</v>
      </c>
      <c r="G376" s="22" t="s">
        <v>405</v>
      </c>
      <c r="H376" s="22" t="s">
        <v>78</v>
      </c>
      <c r="I376" s="22" t="s">
        <v>71</v>
      </c>
      <c r="J376" s="22" t="s">
        <v>1549</v>
      </c>
      <c r="K376" s="22">
        <v>1</v>
      </c>
      <c r="L376" s="22" t="s">
        <v>84</v>
      </c>
      <c r="M376" s="22" t="s">
        <v>89</v>
      </c>
      <c r="N376" s="24">
        <v>571.9</v>
      </c>
      <c r="O376" s="22">
        <f>YEAR(B376)</f>
        <v>2024</v>
      </c>
      <c r="P376" s="25">
        <f>DATE(YEAR(B376),MONTH(B376),1)</f>
        <v>45536</v>
      </c>
      <c r="Q376" s="22" t="str">
        <f>IF(N376&gt;Summary!$C$17,"Outlier","")</f>
        <v/>
      </c>
      <c r="R376" s="22" t="str">
        <f>IF(L376="","None",L376)</f>
        <v>WINTER15</v>
      </c>
    </row>
    <row r="377" spans="1:18" x14ac:dyDescent="0.2">
      <c r="A377" s="22" t="s">
        <v>1550</v>
      </c>
      <c r="B377" s="23">
        <v>45673</v>
      </c>
      <c r="C377" s="22" t="s">
        <v>1551</v>
      </c>
      <c r="D377" s="22" t="s">
        <v>65</v>
      </c>
      <c r="E377" s="22">
        <v>4</v>
      </c>
      <c r="F377" s="24">
        <v>95.03</v>
      </c>
      <c r="G377" s="22" t="s">
        <v>1552</v>
      </c>
      <c r="H377" s="22" t="s">
        <v>79</v>
      </c>
      <c r="I377" s="22" t="s">
        <v>70</v>
      </c>
      <c r="J377" s="22" t="s">
        <v>1553</v>
      </c>
      <c r="K377" s="22">
        <v>8</v>
      </c>
      <c r="L377" s="22" t="s">
        <v>82</v>
      </c>
      <c r="M377" s="22" t="s">
        <v>87</v>
      </c>
      <c r="N377" s="24">
        <v>380.12</v>
      </c>
      <c r="O377" s="22">
        <f>YEAR(B377)</f>
        <v>2025</v>
      </c>
      <c r="P377" s="25">
        <f>DATE(YEAR(B377),MONTH(B377),1)</f>
        <v>45658</v>
      </c>
      <c r="Q377" s="22" t="str">
        <f>IF(N377&gt;Summary!$C$17,"Outlier","")</f>
        <v/>
      </c>
      <c r="R377" s="22" t="str">
        <f>IF(L377="","None",L377)</f>
        <v>FREESHIP</v>
      </c>
    </row>
    <row r="378" spans="1:18" x14ac:dyDescent="0.2">
      <c r="A378" s="22" t="s">
        <v>1554</v>
      </c>
      <c r="B378" s="23">
        <v>45162</v>
      </c>
      <c r="C378" s="22" t="s">
        <v>1555</v>
      </c>
      <c r="D378" s="22" t="s">
        <v>65</v>
      </c>
      <c r="E378" s="22">
        <v>5</v>
      </c>
      <c r="F378" s="24">
        <v>201.22</v>
      </c>
      <c r="G378" s="22" t="s">
        <v>1556</v>
      </c>
      <c r="H378" s="22" t="s">
        <v>77</v>
      </c>
      <c r="I378" s="22" t="s">
        <v>71</v>
      </c>
      <c r="J378" s="22" t="s">
        <v>1557</v>
      </c>
      <c r="K378" s="22">
        <v>6</v>
      </c>
      <c r="L378" s="22" t="s">
        <v>82</v>
      </c>
      <c r="M378" s="22" t="s">
        <v>87</v>
      </c>
      <c r="N378" s="24">
        <v>1006.1</v>
      </c>
      <c r="O378" s="22">
        <f>YEAR(B378)</f>
        <v>2023</v>
      </c>
      <c r="P378" s="25">
        <f>DATE(YEAR(B378),MONTH(B378),1)</f>
        <v>45139</v>
      </c>
      <c r="Q378" s="22" t="str">
        <f>IF(N378&gt;Summary!$C$17,"Outlier","")</f>
        <v/>
      </c>
      <c r="R378" s="22" t="str">
        <f>IF(L378="","None",L378)</f>
        <v>FREESHIP</v>
      </c>
    </row>
    <row r="379" spans="1:18" x14ac:dyDescent="0.2">
      <c r="A379" s="22" t="s">
        <v>1558</v>
      </c>
      <c r="B379" s="23">
        <v>45495</v>
      </c>
      <c r="C379" s="22" t="s">
        <v>1559</v>
      </c>
      <c r="D379" s="22" t="s">
        <v>65</v>
      </c>
      <c r="E379" s="22">
        <v>1</v>
      </c>
      <c r="F379" s="24">
        <v>260.26</v>
      </c>
      <c r="G379" s="22" t="s">
        <v>1306</v>
      </c>
      <c r="H379" s="22" t="s">
        <v>79</v>
      </c>
      <c r="I379" s="22" t="s">
        <v>71</v>
      </c>
      <c r="J379" s="22" t="s">
        <v>1560</v>
      </c>
      <c r="K379" s="22">
        <v>5</v>
      </c>
      <c r="L379" s="22" t="s">
        <v>84</v>
      </c>
      <c r="M379" s="22" t="s">
        <v>89</v>
      </c>
      <c r="N379" s="24">
        <v>260.26</v>
      </c>
      <c r="O379" s="22">
        <f>YEAR(B379)</f>
        <v>2024</v>
      </c>
      <c r="P379" s="25">
        <f>DATE(YEAR(B379),MONTH(B379),1)</f>
        <v>45474</v>
      </c>
      <c r="Q379" s="22" t="str">
        <f>IF(N379&gt;Summary!$C$17,"Outlier","")</f>
        <v/>
      </c>
      <c r="R379" s="22" t="str">
        <f>IF(L379="","None",L379)</f>
        <v>WINTER15</v>
      </c>
    </row>
    <row r="380" spans="1:18" x14ac:dyDescent="0.2">
      <c r="A380" s="22" t="s">
        <v>1561</v>
      </c>
      <c r="B380" s="23">
        <v>45323</v>
      </c>
      <c r="C380" s="22" t="s">
        <v>1562</v>
      </c>
      <c r="D380" s="22" t="s">
        <v>61</v>
      </c>
      <c r="E380" s="22">
        <v>5</v>
      </c>
      <c r="F380" s="24">
        <v>64.5</v>
      </c>
      <c r="G380" s="22" t="s">
        <v>1563</v>
      </c>
      <c r="H380" s="22" t="s">
        <v>76</v>
      </c>
      <c r="I380" s="22" t="s">
        <v>71</v>
      </c>
      <c r="J380" s="22" t="s">
        <v>1564</v>
      </c>
      <c r="K380" s="22">
        <v>8</v>
      </c>
      <c r="L380" s="22" t="s">
        <v>84</v>
      </c>
      <c r="M380" s="22" t="s">
        <v>89</v>
      </c>
      <c r="N380" s="24">
        <v>322.5</v>
      </c>
      <c r="O380" s="22">
        <f>YEAR(B380)</f>
        <v>2024</v>
      </c>
      <c r="P380" s="25">
        <f>DATE(YEAR(B380),MONTH(B380),1)</f>
        <v>45323</v>
      </c>
      <c r="Q380" s="22" t="str">
        <f>IF(N380&gt;Summary!$C$17,"Outlier","")</f>
        <v/>
      </c>
      <c r="R380" s="22" t="str">
        <f>IF(L380="","None",L380)</f>
        <v>WINTER15</v>
      </c>
    </row>
    <row r="381" spans="1:18" x14ac:dyDescent="0.2">
      <c r="A381" s="22" t="s">
        <v>1565</v>
      </c>
      <c r="B381" s="23">
        <v>45556</v>
      </c>
      <c r="C381" s="22" t="s">
        <v>1566</v>
      </c>
      <c r="D381" s="22" t="s">
        <v>67</v>
      </c>
      <c r="E381" s="22">
        <v>3</v>
      </c>
      <c r="F381" s="24">
        <v>297.67</v>
      </c>
      <c r="G381" s="22" t="s">
        <v>816</v>
      </c>
      <c r="H381" s="22" t="s">
        <v>79</v>
      </c>
      <c r="I381" s="22" t="s">
        <v>70</v>
      </c>
      <c r="J381" s="22" t="s">
        <v>1567</v>
      </c>
      <c r="K381" s="22">
        <v>6</v>
      </c>
      <c r="L381" s="22"/>
      <c r="M381" s="22" t="s">
        <v>88</v>
      </c>
      <c r="N381" s="24">
        <v>893.01</v>
      </c>
      <c r="O381" s="22">
        <f>YEAR(B381)</f>
        <v>2024</v>
      </c>
      <c r="P381" s="25">
        <f>DATE(YEAR(B381),MONTH(B381),1)</f>
        <v>45536</v>
      </c>
      <c r="Q381" s="22" t="str">
        <f>IF(N381&gt;Summary!$C$17,"Outlier","")</f>
        <v/>
      </c>
      <c r="R381" s="22" t="str">
        <f>IF(L381="","None",L381)</f>
        <v>None</v>
      </c>
    </row>
    <row r="382" spans="1:18" x14ac:dyDescent="0.2">
      <c r="A382" s="22" t="s">
        <v>1568</v>
      </c>
      <c r="B382" s="23">
        <v>45402</v>
      </c>
      <c r="C382" s="22" t="s">
        <v>1569</v>
      </c>
      <c r="D382" s="22" t="s">
        <v>62</v>
      </c>
      <c r="E382" s="22">
        <v>4</v>
      </c>
      <c r="F382" s="24">
        <v>331.9</v>
      </c>
      <c r="G382" s="22" t="s">
        <v>1158</v>
      </c>
      <c r="H382" s="22" t="s">
        <v>75</v>
      </c>
      <c r="I382" s="22" t="s">
        <v>71</v>
      </c>
      <c r="J382" s="22" t="s">
        <v>1570</v>
      </c>
      <c r="K382" s="22">
        <v>5</v>
      </c>
      <c r="L382" s="22" t="s">
        <v>83</v>
      </c>
      <c r="M382" s="22" t="s">
        <v>89</v>
      </c>
      <c r="N382" s="24">
        <v>1327.6</v>
      </c>
      <c r="O382" s="22">
        <f>YEAR(B382)</f>
        <v>2024</v>
      </c>
      <c r="P382" s="25">
        <f>DATE(YEAR(B382),MONTH(B382),1)</f>
        <v>45383</v>
      </c>
      <c r="Q382" s="22" t="str">
        <f>IF(N382&gt;Summary!$C$17,"Outlier","")</f>
        <v/>
      </c>
      <c r="R382" s="22" t="str">
        <f>IF(L382="","None",L382)</f>
        <v>SAVE10</v>
      </c>
    </row>
    <row r="383" spans="1:18" x14ac:dyDescent="0.2">
      <c r="A383" s="22" t="s">
        <v>1571</v>
      </c>
      <c r="B383" s="23">
        <v>45084</v>
      </c>
      <c r="C383" s="22" t="s">
        <v>1572</v>
      </c>
      <c r="D383" s="22" t="s">
        <v>61</v>
      </c>
      <c r="E383" s="22">
        <v>1</v>
      </c>
      <c r="F383" s="24">
        <v>191.76</v>
      </c>
      <c r="G383" s="22" t="s">
        <v>301</v>
      </c>
      <c r="H383" s="22" t="s">
        <v>76</v>
      </c>
      <c r="I383" s="22" t="s">
        <v>72</v>
      </c>
      <c r="J383" s="22" t="s">
        <v>1573</v>
      </c>
      <c r="K383" s="22">
        <v>1</v>
      </c>
      <c r="L383" s="22" t="s">
        <v>82</v>
      </c>
      <c r="M383" s="22" t="s">
        <v>89</v>
      </c>
      <c r="N383" s="24">
        <v>191.76</v>
      </c>
      <c r="O383" s="22">
        <f>YEAR(B383)</f>
        <v>2023</v>
      </c>
      <c r="P383" s="25">
        <f>DATE(YEAR(B383),MONTH(B383),1)</f>
        <v>45078</v>
      </c>
      <c r="Q383" s="22" t="str">
        <f>IF(N383&gt;Summary!$C$17,"Outlier","")</f>
        <v/>
      </c>
      <c r="R383" s="22" t="str">
        <f>IF(L383="","None",L383)</f>
        <v>FREESHIP</v>
      </c>
    </row>
    <row r="384" spans="1:18" x14ac:dyDescent="0.2">
      <c r="A384" s="22" t="s">
        <v>1574</v>
      </c>
      <c r="B384" s="23">
        <v>45687</v>
      </c>
      <c r="C384" s="22" t="s">
        <v>1575</v>
      </c>
      <c r="D384" s="22" t="s">
        <v>62</v>
      </c>
      <c r="E384" s="22">
        <v>4</v>
      </c>
      <c r="F384" s="24">
        <v>263.08999999999997</v>
      </c>
      <c r="G384" s="22" t="s">
        <v>1576</v>
      </c>
      <c r="H384" s="22" t="s">
        <v>77</v>
      </c>
      <c r="I384" s="22" t="s">
        <v>70</v>
      </c>
      <c r="J384" s="22" t="s">
        <v>1577</v>
      </c>
      <c r="K384" s="22">
        <v>8</v>
      </c>
      <c r="L384" s="22" t="s">
        <v>83</v>
      </c>
      <c r="M384" s="22" t="s">
        <v>88</v>
      </c>
      <c r="N384" s="24">
        <v>1052.3599999999999</v>
      </c>
      <c r="O384" s="22">
        <f>YEAR(B384)</f>
        <v>2025</v>
      </c>
      <c r="P384" s="25">
        <f>DATE(YEAR(B384),MONTH(B384),1)</f>
        <v>45658</v>
      </c>
      <c r="Q384" s="22" t="str">
        <f>IF(N384&gt;Summary!$C$17,"Outlier","")</f>
        <v/>
      </c>
      <c r="R384" s="22" t="str">
        <f>IF(L384="","None",L384)</f>
        <v>SAVE10</v>
      </c>
    </row>
    <row r="385" spans="1:18" x14ac:dyDescent="0.2">
      <c r="A385" s="22" t="s">
        <v>1578</v>
      </c>
      <c r="B385" s="23">
        <v>44946</v>
      </c>
      <c r="C385" s="22" t="s">
        <v>1579</v>
      </c>
      <c r="D385" s="22" t="s">
        <v>61</v>
      </c>
      <c r="E385" s="22">
        <v>4</v>
      </c>
      <c r="F385" s="24">
        <v>393.8</v>
      </c>
      <c r="G385" s="22" t="s">
        <v>485</v>
      </c>
      <c r="H385" s="22" t="s">
        <v>76</v>
      </c>
      <c r="I385" s="22" t="s">
        <v>71</v>
      </c>
      <c r="J385" s="22" t="s">
        <v>1580</v>
      </c>
      <c r="K385" s="22">
        <v>7</v>
      </c>
      <c r="L385" s="22" t="s">
        <v>83</v>
      </c>
      <c r="M385" s="22" t="s">
        <v>86</v>
      </c>
      <c r="N385" s="24">
        <v>1575.2</v>
      </c>
      <c r="O385" s="22">
        <f>YEAR(B385)</f>
        <v>2023</v>
      </c>
      <c r="P385" s="25">
        <f>DATE(YEAR(B385),MONTH(B385),1)</f>
        <v>44927</v>
      </c>
      <c r="Q385" s="22" t="str">
        <f>IF(N385&gt;Summary!$C$17,"Outlier","")</f>
        <v/>
      </c>
      <c r="R385" s="22" t="str">
        <f>IF(L385="","None",L385)</f>
        <v>SAVE10</v>
      </c>
    </row>
    <row r="386" spans="1:18" x14ac:dyDescent="0.2">
      <c r="A386" s="22" t="s">
        <v>1581</v>
      </c>
      <c r="B386" s="23">
        <v>45620</v>
      </c>
      <c r="C386" s="22" t="s">
        <v>1582</v>
      </c>
      <c r="D386" s="22" t="s">
        <v>61</v>
      </c>
      <c r="E386" s="22">
        <v>3</v>
      </c>
      <c r="F386" s="24">
        <v>553.57000000000005</v>
      </c>
      <c r="G386" s="22" t="s">
        <v>1583</v>
      </c>
      <c r="H386" s="22" t="s">
        <v>76</v>
      </c>
      <c r="I386" s="22" t="s">
        <v>72</v>
      </c>
      <c r="J386" s="22" t="s">
        <v>1584</v>
      </c>
      <c r="K386" s="22">
        <v>4</v>
      </c>
      <c r="L386" s="22" t="s">
        <v>82</v>
      </c>
      <c r="M386" s="22" t="s">
        <v>87</v>
      </c>
      <c r="N386" s="24">
        <v>1660.71</v>
      </c>
      <c r="O386" s="22">
        <f>YEAR(B386)</f>
        <v>2024</v>
      </c>
      <c r="P386" s="25">
        <f>DATE(YEAR(B386),MONTH(B386),1)</f>
        <v>45597</v>
      </c>
      <c r="Q386" s="22" t="str">
        <f>IF(N386&gt;Summary!$C$17,"Outlier","")</f>
        <v/>
      </c>
      <c r="R386" s="22" t="str">
        <f>IF(L386="","None",L386)</f>
        <v>FREESHIP</v>
      </c>
    </row>
    <row r="387" spans="1:18" x14ac:dyDescent="0.2">
      <c r="A387" s="22" t="s">
        <v>1585</v>
      </c>
      <c r="B387" s="23">
        <v>45230</v>
      </c>
      <c r="C387" s="22" t="s">
        <v>1586</v>
      </c>
      <c r="D387" s="22" t="s">
        <v>61</v>
      </c>
      <c r="E387" s="22">
        <v>5</v>
      </c>
      <c r="F387" s="24">
        <v>191.63</v>
      </c>
      <c r="G387" s="22" t="s">
        <v>371</v>
      </c>
      <c r="H387" s="22" t="s">
        <v>78</v>
      </c>
      <c r="I387" s="22" t="s">
        <v>69</v>
      </c>
      <c r="J387" s="22" t="s">
        <v>1587</v>
      </c>
      <c r="K387" s="22">
        <v>6</v>
      </c>
      <c r="L387" s="22" t="s">
        <v>82</v>
      </c>
      <c r="M387" s="22" t="s">
        <v>87</v>
      </c>
      <c r="N387" s="24">
        <v>958.15</v>
      </c>
      <c r="O387" s="22">
        <f>YEAR(B387)</f>
        <v>2023</v>
      </c>
      <c r="P387" s="25">
        <f>DATE(YEAR(B387),MONTH(B387),1)</f>
        <v>45200</v>
      </c>
      <c r="Q387" s="22" t="str">
        <f>IF(N387&gt;Summary!$C$17,"Outlier","")</f>
        <v/>
      </c>
      <c r="R387" s="22" t="str">
        <f>IF(L387="","None",L387)</f>
        <v>FREESHIP</v>
      </c>
    </row>
    <row r="388" spans="1:18" x14ac:dyDescent="0.2">
      <c r="A388" s="22" t="s">
        <v>1588</v>
      </c>
      <c r="B388" s="23">
        <v>45044</v>
      </c>
      <c r="C388" s="22" t="s">
        <v>1589</v>
      </c>
      <c r="D388" s="22" t="s">
        <v>64</v>
      </c>
      <c r="E388" s="22">
        <v>1</v>
      </c>
      <c r="F388" s="24">
        <v>93.02</v>
      </c>
      <c r="G388" s="22" t="s">
        <v>1590</v>
      </c>
      <c r="H388" s="22" t="s">
        <v>79</v>
      </c>
      <c r="I388" s="22" t="s">
        <v>72</v>
      </c>
      <c r="J388" s="22" t="s">
        <v>1591</v>
      </c>
      <c r="K388" s="22">
        <v>4</v>
      </c>
      <c r="L388" s="22"/>
      <c r="M388" s="22" t="s">
        <v>86</v>
      </c>
      <c r="N388" s="24">
        <v>93.02</v>
      </c>
      <c r="O388" s="22">
        <f>YEAR(B388)</f>
        <v>2023</v>
      </c>
      <c r="P388" s="25">
        <f>DATE(YEAR(B388),MONTH(B388),1)</f>
        <v>45017</v>
      </c>
      <c r="Q388" s="22" t="str">
        <f>IF(N388&gt;Summary!$C$17,"Outlier","")</f>
        <v/>
      </c>
      <c r="R388" s="22" t="str">
        <f>IF(L388="","None",L388)</f>
        <v>None</v>
      </c>
    </row>
    <row r="389" spans="1:18" x14ac:dyDescent="0.2">
      <c r="A389" s="22" t="s">
        <v>1592</v>
      </c>
      <c r="B389" s="23">
        <v>45470</v>
      </c>
      <c r="C389" s="22" t="s">
        <v>1593</v>
      </c>
      <c r="D389" s="22" t="s">
        <v>62</v>
      </c>
      <c r="E389" s="22">
        <v>2</v>
      </c>
      <c r="F389" s="24">
        <v>39.53</v>
      </c>
      <c r="G389" s="22" t="s">
        <v>151</v>
      </c>
      <c r="H389" s="22" t="s">
        <v>76</v>
      </c>
      <c r="I389" s="22" t="s">
        <v>70</v>
      </c>
      <c r="J389" s="22" t="s">
        <v>1594</v>
      </c>
      <c r="K389" s="22">
        <v>3</v>
      </c>
      <c r="L389" s="22" t="s">
        <v>84</v>
      </c>
      <c r="M389" s="22" t="s">
        <v>88</v>
      </c>
      <c r="N389" s="24">
        <v>79.06</v>
      </c>
      <c r="O389" s="22">
        <f>YEAR(B389)</f>
        <v>2024</v>
      </c>
      <c r="P389" s="25">
        <f>DATE(YEAR(B389),MONTH(B389),1)</f>
        <v>45444</v>
      </c>
      <c r="Q389" s="22" t="str">
        <f>IF(N389&gt;Summary!$C$17,"Outlier","")</f>
        <v/>
      </c>
      <c r="R389" s="22" t="str">
        <f>IF(L389="","None",L389)</f>
        <v>WINTER15</v>
      </c>
    </row>
    <row r="390" spans="1:18" x14ac:dyDescent="0.2">
      <c r="A390" s="22" t="s">
        <v>1595</v>
      </c>
      <c r="B390" s="23">
        <v>45288</v>
      </c>
      <c r="C390" s="22" t="s">
        <v>1596</v>
      </c>
      <c r="D390" s="22" t="s">
        <v>62</v>
      </c>
      <c r="E390" s="22">
        <v>3</v>
      </c>
      <c r="F390" s="24">
        <v>633.97</v>
      </c>
      <c r="G390" s="22" t="s">
        <v>516</v>
      </c>
      <c r="H390" s="22" t="s">
        <v>75</v>
      </c>
      <c r="I390" s="22" t="s">
        <v>71</v>
      </c>
      <c r="J390" s="22" t="s">
        <v>1597</v>
      </c>
      <c r="K390" s="22">
        <v>7</v>
      </c>
      <c r="L390" s="22" t="s">
        <v>84</v>
      </c>
      <c r="M390" s="22" t="s">
        <v>87</v>
      </c>
      <c r="N390" s="24">
        <v>1901.91</v>
      </c>
      <c r="O390" s="22">
        <f>YEAR(B390)</f>
        <v>2023</v>
      </c>
      <c r="P390" s="25">
        <f>DATE(YEAR(B390),MONTH(B390),1)</f>
        <v>45261</v>
      </c>
      <c r="Q390" s="22" t="str">
        <f>IF(N390&gt;Summary!$C$17,"Outlier","")</f>
        <v/>
      </c>
      <c r="R390" s="22" t="str">
        <f>IF(L390="","None",L390)</f>
        <v>WINTER15</v>
      </c>
    </row>
    <row r="391" spans="1:18" x14ac:dyDescent="0.2">
      <c r="A391" s="22" t="s">
        <v>1598</v>
      </c>
      <c r="B391" s="23">
        <v>45277</v>
      </c>
      <c r="C391" s="22" t="s">
        <v>1599</v>
      </c>
      <c r="D391" s="22" t="s">
        <v>66</v>
      </c>
      <c r="E391" s="22">
        <v>4</v>
      </c>
      <c r="F391" s="24">
        <v>697.5</v>
      </c>
      <c r="G391" s="22" t="s">
        <v>1600</v>
      </c>
      <c r="H391" s="22" t="s">
        <v>75</v>
      </c>
      <c r="I391" s="22" t="s">
        <v>70</v>
      </c>
      <c r="J391" s="22" t="s">
        <v>1601</v>
      </c>
      <c r="K391" s="22">
        <v>7</v>
      </c>
      <c r="L391" s="22" t="s">
        <v>82</v>
      </c>
      <c r="M391" s="22" t="s">
        <v>90</v>
      </c>
      <c r="N391" s="24">
        <v>2790</v>
      </c>
      <c r="O391" s="22">
        <f>YEAR(B391)</f>
        <v>2023</v>
      </c>
      <c r="P391" s="25">
        <f>DATE(YEAR(B391),MONTH(B391),1)</f>
        <v>45261</v>
      </c>
      <c r="Q391" s="22" t="str">
        <f>IF(N391&gt;Summary!$C$17,"Outlier","")</f>
        <v/>
      </c>
      <c r="R391" s="22" t="str">
        <f>IF(L391="","None",L391)</f>
        <v>FREESHIP</v>
      </c>
    </row>
    <row r="392" spans="1:18" x14ac:dyDescent="0.2">
      <c r="A392" s="22" t="s">
        <v>1602</v>
      </c>
      <c r="B392" s="23">
        <v>45121</v>
      </c>
      <c r="C392" s="22" t="s">
        <v>1603</v>
      </c>
      <c r="D392" s="22" t="s">
        <v>62</v>
      </c>
      <c r="E392" s="22">
        <v>5</v>
      </c>
      <c r="F392" s="24">
        <v>508.69</v>
      </c>
      <c r="G392" s="22" t="s">
        <v>1451</v>
      </c>
      <c r="H392" s="22" t="s">
        <v>75</v>
      </c>
      <c r="I392" s="22" t="s">
        <v>69</v>
      </c>
      <c r="J392" s="22" t="s">
        <v>1604</v>
      </c>
      <c r="K392" s="22">
        <v>10</v>
      </c>
      <c r="L392" s="22" t="s">
        <v>82</v>
      </c>
      <c r="M392" s="22" t="s">
        <v>88</v>
      </c>
      <c r="N392" s="24">
        <v>2543.4499999999998</v>
      </c>
      <c r="O392" s="22">
        <f>YEAR(B392)</f>
        <v>2023</v>
      </c>
      <c r="P392" s="25">
        <f>DATE(YEAR(B392),MONTH(B392),1)</f>
        <v>45108</v>
      </c>
      <c r="Q392" s="22" t="str">
        <f>IF(N392&gt;Summary!$C$17,"Outlier","")</f>
        <v/>
      </c>
      <c r="R392" s="22" t="str">
        <f>IF(L392="","None",L392)</f>
        <v>FREESHIP</v>
      </c>
    </row>
    <row r="393" spans="1:18" x14ac:dyDescent="0.2">
      <c r="A393" s="22" t="s">
        <v>1605</v>
      </c>
      <c r="B393" s="23">
        <v>45673</v>
      </c>
      <c r="C393" s="22" t="s">
        <v>1606</v>
      </c>
      <c r="D393" s="22" t="s">
        <v>63</v>
      </c>
      <c r="E393" s="22">
        <v>2</v>
      </c>
      <c r="F393" s="24">
        <v>527.46</v>
      </c>
      <c r="G393" s="22" t="s">
        <v>1214</v>
      </c>
      <c r="H393" s="22" t="s">
        <v>77</v>
      </c>
      <c r="I393" s="22" t="s">
        <v>73</v>
      </c>
      <c r="J393" s="22" t="s">
        <v>1607</v>
      </c>
      <c r="K393" s="22">
        <v>3</v>
      </c>
      <c r="L393" s="22" t="s">
        <v>82</v>
      </c>
      <c r="M393" s="22" t="s">
        <v>90</v>
      </c>
      <c r="N393" s="24">
        <v>1054.92</v>
      </c>
      <c r="O393" s="22">
        <f>YEAR(B393)</f>
        <v>2025</v>
      </c>
      <c r="P393" s="25">
        <f>DATE(YEAR(B393),MONTH(B393),1)</f>
        <v>45658</v>
      </c>
      <c r="Q393" s="22" t="str">
        <f>IF(N393&gt;Summary!$C$17,"Outlier","")</f>
        <v/>
      </c>
      <c r="R393" s="22" t="str">
        <f>IF(L393="","None",L393)</f>
        <v>FREESHIP</v>
      </c>
    </row>
    <row r="394" spans="1:18" x14ac:dyDescent="0.2">
      <c r="A394" s="22" t="s">
        <v>1608</v>
      </c>
      <c r="B394" s="23">
        <v>45350</v>
      </c>
      <c r="C394" s="22" t="s">
        <v>1609</v>
      </c>
      <c r="D394" s="22" t="s">
        <v>67</v>
      </c>
      <c r="E394" s="22">
        <v>1</v>
      </c>
      <c r="F394" s="24">
        <v>627.20000000000005</v>
      </c>
      <c r="G394" s="22" t="s">
        <v>1502</v>
      </c>
      <c r="H394" s="22" t="s">
        <v>79</v>
      </c>
      <c r="I394" s="22" t="s">
        <v>69</v>
      </c>
      <c r="J394" s="22" t="s">
        <v>1610</v>
      </c>
      <c r="K394" s="22">
        <v>1</v>
      </c>
      <c r="L394" s="22" t="s">
        <v>84</v>
      </c>
      <c r="M394" s="22" t="s">
        <v>86</v>
      </c>
      <c r="N394" s="24">
        <v>627.20000000000005</v>
      </c>
      <c r="O394" s="22">
        <f>YEAR(B394)</f>
        <v>2024</v>
      </c>
      <c r="P394" s="25">
        <f>DATE(YEAR(B394),MONTH(B394),1)</f>
        <v>45323</v>
      </c>
      <c r="Q394" s="22" t="str">
        <f>IF(N394&gt;Summary!$C$17,"Outlier","")</f>
        <v/>
      </c>
      <c r="R394" s="22" t="str">
        <f>IF(L394="","None",L394)</f>
        <v>WINTER15</v>
      </c>
    </row>
    <row r="395" spans="1:18" x14ac:dyDescent="0.2">
      <c r="A395" s="22" t="s">
        <v>1611</v>
      </c>
      <c r="B395" s="23">
        <v>45487</v>
      </c>
      <c r="C395" s="22" t="s">
        <v>1612</v>
      </c>
      <c r="D395" s="22" t="s">
        <v>62</v>
      </c>
      <c r="E395" s="22">
        <v>1</v>
      </c>
      <c r="F395" s="24">
        <v>75.010000000000005</v>
      </c>
      <c r="G395" s="22" t="s">
        <v>1613</v>
      </c>
      <c r="H395" s="22" t="s">
        <v>76</v>
      </c>
      <c r="I395" s="22" t="s">
        <v>72</v>
      </c>
      <c r="J395" s="22" t="s">
        <v>1614</v>
      </c>
      <c r="K395" s="22">
        <v>3</v>
      </c>
      <c r="L395" s="22"/>
      <c r="M395" s="22" t="s">
        <v>88</v>
      </c>
      <c r="N395" s="24">
        <v>75.010000000000005</v>
      </c>
      <c r="O395" s="22">
        <f>YEAR(B395)</f>
        <v>2024</v>
      </c>
      <c r="P395" s="25">
        <f>DATE(YEAR(B395),MONTH(B395),1)</f>
        <v>45474</v>
      </c>
      <c r="Q395" s="22" t="str">
        <f>IF(N395&gt;Summary!$C$17,"Outlier","")</f>
        <v/>
      </c>
      <c r="R395" s="22" t="str">
        <f>IF(L395="","None",L395)</f>
        <v>None</v>
      </c>
    </row>
    <row r="396" spans="1:18" x14ac:dyDescent="0.2">
      <c r="A396" s="22" t="s">
        <v>1615</v>
      </c>
      <c r="B396" s="23">
        <v>45112</v>
      </c>
      <c r="C396" s="22" t="s">
        <v>1616</v>
      </c>
      <c r="D396" s="22" t="s">
        <v>66</v>
      </c>
      <c r="E396" s="22">
        <v>5</v>
      </c>
      <c r="F396" s="24">
        <v>529.54999999999995</v>
      </c>
      <c r="G396" s="22" t="s">
        <v>1617</v>
      </c>
      <c r="H396" s="22" t="s">
        <v>78</v>
      </c>
      <c r="I396" s="22" t="s">
        <v>70</v>
      </c>
      <c r="J396" s="22" t="s">
        <v>1618</v>
      </c>
      <c r="K396" s="22">
        <v>10</v>
      </c>
      <c r="L396" s="22"/>
      <c r="M396" s="22" t="s">
        <v>87</v>
      </c>
      <c r="N396" s="24">
        <v>2647.75</v>
      </c>
      <c r="O396" s="22">
        <f>YEAR(B396)</f>
        <v>2023</v>
      </c>
      <c r="P396" s="25">
        <f>DATE(YEAR(B396),MONTH(B396),1)</f>
        <v>45108</v>
      </c>
      <c r="Q396" s="22" t="str">
        <f>IF(N396&gt;Summary!$C$17,"Outlier","")</f>
        <v/>
      </c>
      <c r="R396" s="22" t="str">
        <f>IF(L396="","None",L396)</f>
        <v>None</v>
      </c>
    </row>
    <row r="397" spans="1:18" x14ac:dyDescent="0.2">
      <c r="A397" s="22" t="s">
        <v>1619</v>
      </c>
      <c r="B397" s="23">
        <v>45772</v>
      </c>
      <c r="C397" s="22" t="s">
        <v>1620</v>
      </c>
      <c r="D397" s="22" t="s">
        <v>67</v>
      </c>
      <c r="E397" s="22">
        <v>3</v>
      </c>
      <c r="F397" s="24">
        <v>127.41</v>
      </c>
      <c r="G397" s="22" t="s">
        <v>247</v>
      </c>
      <c r="H397" s="22" t="s">
        <v>78</v>
      </c>
      <c r="I397" s="22" t="s">
        <v>69</v>
      </c>
      <c r="J397" s="22" t="s">
        <v>1621</v>
      </c>
      <c r="K397" s="22">
        <v>7</v>
      </c>
      <c r="L397" s="22" t="s">
        <v>83</v>
      </c>
      <c r="M397" s="22" t="s">
        <v>90</v>
      </c>
      <c r="N397" s="24">
        <v>382.23</v>
      </c>
      <c r="O397" s="22">
        <f>YEAR(B397)</f>
        <v>2025</v>
      </c>
      <c r="P397" s="25">
        <f>DATE(YEAR(B397),MONTH(B397),1)</f>
        <v>45748</v>
      </c>
      <c r="Q397" s="22" t="str">
        <f>IF(N397&gt;Summary!$C$17,"Outlier","")</f>
        <v/>
      </c>
      <c r="R397" s="22" t="str">
        <f>IF(L397="","None",L397)</f>
        <v>SAVE10</v>
      </c>
    </row>
    <row r="398" spans="1:18" x14ac:dyDescent="0.2">
      <c r="A398" s="22" t="s">
        <v>1622</v>
      </c>
      <c r="B398" s="23">
        <v>45261</v>
      </c>
      <c r="C398" s="22" t="s">
        <v>1623</v>
      </c>
      <c r="D398" s="22" t="s">
        <v>64</v>
      </c>
      <c r="E398" s="22">
        <v>5</v>
      </c>
      <c r="F398" s="24">
        <v>287.13</v>
      </c>
      <c r="G398" s="22" t="s">
        <v>1624</v>
      </c>
      <c r="H398" s="22" t="s">
        <v>79</v>
      </c>
      <c r="I398" s="22" t="s">
        <v>70</v>
      </c>
      <c r="J398" s="22" t="s">
        <v>1625</v>
      </c>
      <c r="K398" s="22">
        <v>10</v>
      </c>
      <c r="L398" s="22" t="s">
        <v>83</v>
      </c>
      <c r="M398" s="22" t="s">
        <v>86</v>
      </c>
      <c r="N398" s="24">
        <v>1435.65</v>
      </c>
      <c r="O398" s="22">
        <f>YEAR(B398)</f>
        <v>2023</v>
      </c>
      <c r="P398" s="25">
        <f>DATE(YEAR(B398),MONTH(B398),1)</f>
        <v>45261</v>
      </c>
      <c r="Q398" s="22" t="str">
        <f>IF(N398&gt;Summary!$C$17,"Outlier","")</f>
        <v/>
      </c>
      <c r="R398" s="22" t="str">
        <f>IF(L398="","None",L398)</f>
        <v>SAVE10</v>
      </c>
    </row>
    <row r="399" spans="1:18" x14ac:dyDescent="0.2">
      <c r="A399" s="22" t="s">
        <v>1626</v>
      </c>
      <c r="B399" s="23">
        <v>45197</v>
      </c>
      <c r="C399" s="22" t="s">
        <v>1627</v>
      </c>
      <c r="D399" s="22" t="s">
        <v>65</v>
      </c>
      <c r="E399" s="22">
        <v>1</v>
      </c>
      <c r="F399" s="24">
        <v>427.06</v>
      </c>
      <c r="G399" s="22" t="s">
        <v>1628</v>
      </c>
      <c r="H399" s="22" t="s">
        <v>79</v>
      </c>
      <c r="I399" s="22" t="s">
        <v>73</v>
      </c>
      <c r="J399" s="22" t="s">
        <v>1629</v>
      </c>
      <c r="K399" s="22">
        <v>1</v>
      </c>
      <c r="L399" s="22" t="s">
        <v>84</v>
      </c>
      <c r="M399" s="22" t="s">
        <v>90</v>
      </c>
      <c r="N399" s="24">
        <v>427.06</v>
      </c>
      <c r="O399" s="22">
        <f>YEAR(B399)</f>
        <v>2023</v>
      </c>
      <c r="P399" s="25">
        <f>DATE(YEAR(B399),MONTH(B399),1)</f>
        <v>45170</v>
      </c>
      <c r="Q399" s="22" t="str">
        <f>IF(N399&gt;Summary!$C$17,"Outlier","")</f>
        <v/>
      </c>
      <c r="R399" s="22" t="str">
        <f>IF(L399="","None",L399)</f>
        <v>WINTER15</v>
      </c>
    </row>
    <row r="400" spans="1:18" x14ac:dyDescent="0.2">
      <c r="A400" s="22" t="s">
        <v>1630</v>
      </c>
      <c r="B400" s="23">
        <v>45539</v>
      </c>
      <c r="C400" s="22" t="s">
        <v>1631</v>
      </c>
      <c r="D400" s="22" t="s">
        <v>67</v>
      </c>
      <c r="E400" s="22">
        <v>5</v>
      </c>
      <c r="F400" s="24">
        <v>53.93</v>
      </c>
      <c r="G400" s="22" t="s">
        <v>918</v>
      </c>
      <c r="H400" s="22" t="s">
        <v>78</v>
      </c>
      <c r="I400" s="22" t="s">
        <v>70</v>
      </c>
      <c r="J400" s="22" t="s">
        <v>1632</v>
      </c>
      <c r="K400" s="22">
        <v>7</v>
      </c>
      <c r="L400" s="22" t="s">
        <v>83</v>
      </c>
      <c r="M400" s="22" t="s">
        <v>89</v>
      </c>
      <c r="N400" s="24">
        <v>269.64999999999998</v>
      </c>
      <c r="O400" s="22">
        <f>YEAR(B400)</f>
        <v>2024</v>
      </c>
      <c r="P400" s="25">
        <f>DATE(YEAR(B400),MONTH(B400),1)</f>
        <v>45536</v>
      </c>
      <c r="Q400" s="22" t="str">
        <f>IF(N400&gt;Summary!$C$17,"Outlier","")</f>
        <v/>
      </c>
      <c r="R400" s="22" t="str">
        <f>IF(L400="","None",L400)</f>
        <v>SAVE10</v>
      </c>
    </row>
    <row r="401" spans="1:18" x14ac:dyDescent="0.2">
      <c r="A401" s="22" t="s">
        <v>1633</v>
      </c>
      <c r="B401" s="23">
        <v>45298</v>
      </c>
      <c r="C401" s="22" t="s">
        <v>1634</v>
      </c>
      <c r="D401" s="22" t="s">
        <v>64</v>
      </c>
      <c r="E401" s="22">
        <v>5</v>
      </c>
      <c r="F401" s="24">
        <v>423.93</v>
      </c>
      <c r="G401" s="22" t="s">
        <v>1635</v>
      </c>
      <c r="H401" s="22" t="s">
        <v>77</v>
      </c>
      <c r="I401" s="22" t="s">
        <v>72</v>
      </c>
      <c r="J401" s="22" t="s">
        <v>1636</v>
      </c>
      <c r="K401" s="22">
        <v>5</v>
      </c>
      <c r="L401" s="22" t="s">
        <v>82</v>
      </c>
      <c r="M401" s="22" t="s">
        <v>87</v>
      </c>
      <c r="N401" s="24">
        <v>2119.65</v>
      </c>
      <c r="O401" s="22">
        <f>YEAR(B401)</f>
        <v>2024</v>
      </c>
      <c r="P401" s="25">
        <f>DATE(YEAR(B401),MONTH(B401),1)</f>
        <v>45292</v>
      </c>
      <c r="Q401" s="22" t="str">
        <f>IF(N401&gt;Summary!$C$17,"Outlier","")</f>
        <v/>
      </c>
      <c r="R401" s="22" t="str">
        <f>IF(L401="","None",L401)</f>
        <v>FREESHIP</v>
      </c>
    </row>
    <row r="402" spans="1:18" x14ac:dyDescent="0.2">
      <c r="A402" s="22" t="s">
        <v>1637</v>
      </c>
      <c r="B402" s="23">
        <v>45563</v>
      </c>
      <c r="C402" s="22" t="s">
        <v>1638</v>
      </c>
      <c r="D402" s="22" t="s">
        <v>66</v>
      </c>
      <c r="E402" s="22">
        <v>4</v>
      </c>
      <c r="F402" s="24">
        <v>160.22</v>
      </c>
      <c r="G402" s="22" t="s">
        <v>1639</v>
      </c>
      <c r="H402" s="22" t="s">
        <v>77</v>
      </c>
      <c r="I402" s="22" t="s">
        <v>72</v>
      </c>
      <c r="J402" s="22" t="s">
        <v>1640</v>
      </c>
      <c r="K402" s="22">
        <v>9</v>
      </c>
      <c r="L402" s="22" t="s">
        <v>84</v>
      </c>
      <c r="M402" s="22" t="s">
        <v>89</v>
      </c>
      <c r="N402" s="24">
        <v>640.88</v>
      </c>
      <c r="O402" s="22">
        <f>YEAR(B402)</f>
        <v>2024</v>
      </c>
      <c r="P402" s="25">
        <f>DATE(YEAR(B402),MONTH(B402),1)</f>
        <v>45536</v>
      </c>
      <c r="Q402" s="22" t="str">
        <f>IF(N402&gt;Summary!$C$17,"Outlier","")</f>
        <v/>
      </c>
      <c r="R402" s="22" t="str">
        <f>IF(L402="","None",L402)</f>
        <v>WINTER15</v>
      </c>
    </row>
    <row r="403" spans="1:18" x14ac:dyDescent="0.2">
      <c r="A403" s="22" t="s">
        <v>1641</v>
      </c>
      <c r="B403" s="23">
        <v>45756</v>
      </c>
      <c r="C403" s="22" t="s">
        <v>1642</v>
      </c>
      <c r="D403" s="22" t="s">
        <v>62</v>
      </c>
      <c r="E403" s="22">
        <v>1</v>
      </c>
      <c r="F403" s="24">
        <v>538.67999999999995</v>
      </c>
      <c r="G403" s="22" t="s">
        <v>1502</v>
      </c>
      <c r="H403" s="22" t="s">
        <v>77</v>
      </c>
      <c r="I403" s="22" t="s">
        <v>72</v>
      </c>
      <c r="J403" s="22" t="s">
        <v>1643</v>
      </c>
      <c r="K403" s="22">
        <v>6</v>
      </c>
      <c r="L403" s="22"/>
      <c r="M403" s="22" t="s">
        <v>90</v>
      </c>
      <c r="N403" s="24">
        <v>538.67999999999995</v>
      </c>
      <c r="O403" s="22">
        <f>YEAR(B403)</f>
        <v>2025</v>
      </c>
      <c r="P403" s="25">
        <f>DATE(YEAR(B403),MONTH(B403),1)</f>
        <v>45748</v>
      </c>
      <c r="Q403" s="22" t="str">
        <f>IF(N403&gt;Summary!$C$17,"Outlier","")</f>
        <v/>
      </c>
      <c r="R403" s="22" t="str">
        <f>IF(L403="","None",L403)</f>
        <v>None</v>
      </c>
    </row>
    <row r="404" spans="1:18" x14ac:dyDescent="0.2">
      <c r="A404" s="22" t="s">
        <v>1644</v>
      </c>
      <c r="B404" s="23">
        <v>45025</v>
      </c>
      <c r="C404" s="22" t="s">
        <v>1645</v>
      </c>
      <c r="D404" s="22" t="s">
        <v>62</v>
      </c>
      <c r="E404" s="22">
        <v>5</v>
      </c>
      <c r="F404" s="24">
        <v>337.38</v>
      </c>
      <c r="G404" s="22" t="s">
        <v>1646</v>
      </c>
      <c r="H404" s="22" t="s">
        <v>78</v>
      </c>
      <c r="I404" s="22" t="s">
        <v>70</v>
      </c>
      <c r="J404" s="22" t="s">
        <v>1647</v>
      </c>
      <c r="K404" s="22">
        <v>5</v>
      </c>
      <c r="L404" s="22"/>
      <c r="M404" s="22" t="s">
        <v>90</v>
      </c>
      <c r="N404" s="24">
        <v>1686.9</v>
      </c>
      <c r="O404" s="22">
        <f>YEAR(B404)</f>
        <v>2023</v>
      </c>
      <c r="P404" s="25">
        <f>DATE(YEAR(B404),MONTH(B404),1)</f>
        <v>45017</v>
      </c>
      <c r="Q404" s="22" t="str">
        <f>IF(N404&gt;Summary!$C$17,"Outlier","")</f>
        <v/>
      </c>
      <c r="R404" s="22" t="str">
        <f>IF(L404="","None",L404)</f>
        <v>None</v>
      </c>
    </row>
    <row r="405" spans="1:18" x14ac:dyDescent="0.2">
      <c r="A405" s="22" t="s">
        <v>1648</v>
      </c>
      <c r="B405" s="23">
        <v>45606</v>
      </c>
      <c r="C405" s="22" t="s">
        <v>1649</v>
      </c>
      <c r="D405" s="22" t="s">
        <v>64</v>
      </c>
      <c r="E405" s="22">
        <v>1</v>
      </c>
      <c r="F405" s="24">
        <v>620.21</v>
      </c>
      <c r="G405" s="22" t="s">
        <v>1198</v>
      </c>
      <c r="H405" s="22" t="s">
        <v>79</v>
      </c>
      <c r="I405" s="22" t="s">
        <v>72</v>
      </c>
      <c r="J405" s="22" t="s">
        <v>1650</v>
      </c>
      <c r="K405" s="22">
        <v>1</v>
      </c>
      <c r="L405" s="22" t="s">
        <v>82</v>
      </c>
      <c r="M405" s="22" t="s">
        <v>90</v>
      </c>
      <c r="N405" s="24">
        <v>620.21</v>
      </c>
      <c r="O405" s="22">
        <f>YEAR(B405)</f>
        <v>2024</v>
      </c>
      <c r="P405" s="25">
        <f>DATE(YEAR(B405),MONTH(B405),1)</f>
        <v>45597</v>
      </c>
      <c r="Q405" s="22" t="str">
        <f>IF(N405&gt;Summary!$C$17,"Outlier","")</f>
        <v/>
      </c>
      <c r="R405" s="22" t="str">
        <f>IF(L405="","None",L405)</f>
        <v>FREESHIP</v>
      </c>
    </row>
    <row r="406" spans="1:18" x14ac:dyDescent="0.2">
      <c r="A406" s="22" t="s">
        <v>1651</v>
      </c>
      <c r="B406" s="23">
        <v>44994</v>
      </c>
      <c r="C406" s="22" t="s">
        <v>1652</v>
      </c>
      <c r="D406" s="22" t="s">
        <v>65</v>
      </c>
      <c r="E406" s="22">
        <v>2</v>
      </c>
      <c r="F406" s="24">
        <v>99.1</v>
      </c>
      <c r="G406" s="22" t="s">
        <v>383</v>
      </c>
      <c r="H406" s="22" t="s">
        <v>75</v>
      </c>
      <c r="I406" s="22" t="s">
        <v>69</v>
      </c>
      <c r="J406" s="22" t="s">
        <v>1653</v>
      </c>
      <c r="K406" s="22">
        <v>6</v>
      </c>
      <c r="L406" s="22"/>
      <c r="M406" s="22" t="s">
        <v>89</v>
      </c>
      <c r="N406" s="24">
        <v>198.2</v>
      </c>
      <c r="O406" s="22">
        <f>YEAR(B406)</f>
        <v>2023</v>
      </c>
      <c r="P406" s="25">
        <f>DATE(YEAR(B406),MONTH(B406),1)</f>
        <v>44986</v>
      </c>
      <c r="Q406" s="22" t="str">
        <f>IF(N406&gt;Summary!$C$17,"Outlier","")</f>
        <v/>
      </c>
      <c r="R406" s="22" t="str">
        <f>IF(L406="","None",L406)</f>
        <v>None</v>
      </c>
    </row>
    <row r="407" spans="1:18" x14ac:dyDescent="0.2">
      <c r="A407" s="22" t="s">
        <v>1654</v>
      </c>
      <c r="B407" s="23">
        <v>45683</v>
      </c>
      <c r="C407" s="22" t="s">
        <v>1655</v>
      </c>
      <c r="D407" s="22" t="s">
        <v>65</v>
      </c>
      <c r="E407" s="22">
        <v>4</v>
      </c>
      <c r="F407" s="24">
        <v>451.97</v>
      </c>
      <c r="G407" s="22" t="s">
        <v>1519</v>
      </c>
      <c r="H407" s="22" t="s">
        <v>79</v>
      </c>
      <c r="I407" s="22" t="s">
        <v>73</v>
      </c>
      <c r="J407" s="22" t="s">
        <v>1656</v>
      </c>
      <c r="K407" s="22">
        <v>7</v>
      </c>
      <c r="L407" s="22" t="s">
        <v>84</v>
      </c>
      <c r="M407" s="22" t="s">
        <v>86</v>
      </c>
      <c r="N407" s="24">
        <v>1807.88</v>
      </c>
      <c r="O407" s="22">
        <f>YEAR(B407)</f>
        <v>2025</v>
      </c>
      <c r="P407" s="25">
        <f>DATE(YEAR(B407),MONTH(B407),1)</f>
        <v>45658</v>
      </c>
      <c r="Q407" s="22" t="str">
        <f>IF(N407&gt;Summary!$C$17,"Outlier","")</f>
        <v/>
      </c>
      <c r="R407" s="22" t="str">
        <f>IF(L407="","None",L407)</f>
        <v>WINTER15</v>
      </c>
    </row>
    <row r="408" spans="1:18" x14ac:dyDescent="0.2">
      <c r="A408" s="22" t="s">
        <v>1657</v>
      </c>
      <c r="B408" s="23">
        <v>45270</v>
      </c>
      <c r="C408" s="22" t="s">
        <v>1658</v>
      </c>
      <c r="D408" s="22" t="s">
        <v>64</v>
      </c>
      <c r="E408" s="22">
        <v>4</v>
      </c>
      <c r="F408" s="24">
        <v>66.099999999999994</v>
      </c>
      <c r="G408" s="22" t="s">
        <v>840</v>
      </c>
      <c r="H408" s="22" t="s">
        <v>75</v>
      </c>
      <c r="I408" s="22" t="s">
        <v>72</v>
      </c>
      <c r="J408" s="22" t="s">
        <v>1659</v>
      </c>
      <c r="K408" s="22">
        <v>9</v>
      </c>
      <c r="L408" s="22" t="s">
        <v>84</v>
      </c>
      <c r="M408" s="22" t="s">
        <v>88</v>
      </c>
      <c r="N408" s="24">
        <v>264.39999999999998</v>
      </c>
      <c r="O408" s="22">
        <f>YEAR(B408)</f>
        <v>2023</v>
      </c>
      <c r="P408" s="25">
        <f>DATE(YEAR(B408),MONTH(B408),1)</f>
        <v>45261</v>
      </c>
      <c r="Q408" s="22" t="str">
        <f>IF(N408&gt;Summary!$C$17,"Outlier","")</f>
        <v/>
      </c>
      <c r="R408" s="22" t="str">
        <f>IF(L408="","None",L408)</f>
        <v>WINTER15</v>
      </c>
    </row>
    <row r="409" spans="1:18" x14ac:dyDescent="0.2">
      <c r="A409" s="22" t="s">
        <v>1660</v>
      </c>
      <c r="B409" s="23">
        <v>45151</v>
      </c>
      <c r="C409" s="22" t="s">
        <v>1661</v>
      </c>
      <c r="D409" s="22" t="s">
        <v>64</v>
      </c>
      <c r="E409" s="22">
        <v>4</v>
      </c>
      <c r="F409" s="24">
        <v>547.32000000000005</v>
      </c>
      <c r="G409" s="22" t="s">
        <v>1131</v>
      </c>
      <c r="H409" s="22" t="s">
        <v>75</v>
      </c>
      <c r="I409" s="22" t="s">
        <v>72</v>
      </c>
      <c r="J409" s="22" t="s">
        <v>1662</v>
      </c>
      <c r="K409" s="22">
        <v>8</v>
      </c>
      <c r="L409" s="22" t="s">
        <v>82</v>
      </c>
      <c r="M409" s="22" t="s">
        <v>89</v>
      </c>
      <c r="N409" s="24">
        <v>2189.2800000000002</v>
      </c>
      <c r="O409" s="22">
        <f>YEAR(B409)</f>
        <v>2023</v>
      </c>
      <c r="P409" s="25">
        <f>DATE(YEAR(B409),MONTH(B409),1)</f>
        <v>45139</v>
      </c>
      <c r="Q409" s="22" t="str">
        <f>IF(N409&gt;Summary!$C$17,"Outlier","")</f>
        <v/>
      </c>
      <c r="R409" s="22" t="str">
        <f>IF(L409="","None",L409)</f>
        <v>FREESHIP</v>
      </c>
    </row>
    <row r="410" spans="1:18" x14ac:dyDescent="0.2">
      <c r="A410" s="22" t="s">
        <v>1663</v>
      </c>
      <c r="B410" s="23">
        <v>45658</v>
      </c>
      <c r="C410" s="22" t="s">
        <v>1664</v>
      </c>
      <c r="D410" s="22" t="s">
        <v>62</v>
      </c>
      <c r="E410" s="22">
        <v>3</v>
      </c>
      <c r="F410" s="24">
        <v>412.53</v>
      </c>
      <c r="G410" s="22" t="s">
        <v>1665</v>
      </c>
      <c r="H410" s="22" t="s">
        <v>79</v>
      </c>
      <c r="I410" s="22" t="s">
        <v>71</v>
      </c>
      <c r="J410" s="22" t="s">
        <v>1666</v>
      </c>
      <c r="K410" s="22">
        <v>6</v>
      </c>
      <c r="L410" s="22" t="s">
        <v>84</v>
      </c>
      <c r="M410" s="22" t="s">
        <v>88</v>
      </c>
      <c r="N410" s="24">
        <v>1237.5899999999999</v>
      </c>
      <c r="O410" s="22">
        <f>YEAR(B410)</f>
        <v>2025</v>
      </c>
      <c r="P410" s="25">
        <f>DATE(YEAR(B410),MONTH(B410),1)</f>
        <v>45658</v>
      </c>
      <c r="Q410" s="22" t="str">
        <f>IF(N410&gt;Summary!$C$17,"Outlier","")</f>
        <v/>
      </c>
      <c r="R410" s="22" t="str">
        <f>IF(L410="","None",L410)</f>
        <v>WINTER15</v>
      </c>
    </row>
    <row r="411" spans="1:18" x14ac:dyDescent="0.2">
      <c r="A411" s="22" t="s">
        <v>1667</v>
      </c>
      <c r="B411" s="23">
        <v>45105</v>
      </c>
      <c r="C411" s="22" t="s">
        <v>1668</v>
      </c>
      <c r="D411" s="22" t="s">
        <v>66</v>
      </c>
      <c r="E411" s="22">
        <v>5</v>
      </c>
      <c r="F411" s="24">
        <v>84.13</v>
      </c>
      <c r="G411" s="22" t="s">
        <v>1669</v>
      </c>
      <c r="H411" s="22" t="s">
        <v>79</v>
      </c>
      <c r="I411" s="22" t="s">
        <v>69</v>
      </c>
      <c r="J411" s="22" t="s">
        <v>1670</v>
      </c>
      <c r="K411" s="22">
        <v>9</v>
      </c>
      <c r="L411" s="22" t="s">
        <v>83</v>
      </c>
      <c r="M411" s="22" t="s">
        <v>88</v>
      </c>
      <c r="N411" s="24">
        <v>420.65</v>
      </c>
      <c r="O411" s="22">
        <f>YEAR(B411)</f>
        <v>2023</v>
      </c>
      <c r="P411" s="25">
        <f>DATE(YEAR(B411),MONTH(B411),1)</f>
        <v>45078</v>
      </c>
      <c r="Q411" s="22" t="str">
        <f>IF(N411&gt;Summary!$C$17,"Outlier","")</f>
        <v/>
      </c>
      <c r="R411" s="22" t="str">
        <f>IF(L411="","None",L411)</f>
        <v>SAVE10</v>
      </c>
    </row>
    <row r="412" spans="1:18" x14ac:dyDescent="0.2">
      <c r="A412" s="22" t="s">
        <v>1671</v>
      </c>
      <c r="B412" s="23">
        <v>45309</v>
      </c>
      <c r="C412" s="22" t="s">
        <v>1672</v>
      </c>
      <c r="D412" s="22" t="s">
        <v>64</v>
      </c>
      <c r="E412" s="22">
        <v>2</v>
      </c>
      <c r="F412" s="24">
        <v>518.23</v>
      </c>
      <c r="G412" s="22" t="s">
        <v>1673</v>
      </c>
      <c r="H412" s="22" t="s">
        <v>77</v>
      </c>
      <c r="I412" s="22" t="s">
        <v>70</v>
      </c>
      <c r="J412" s="22" t="s">
        <v>1674</v>
      </c>
      <c r="K412" s="22">
        <v>5</v>
      </c>
      <c r="L412" s="22"/>
      <c r="M412" s="22" t="s">
        <v>86</v>
      </c>
      <c r="N412" s="24">
        <v>1036.46</v>
      </c>
      <c r="O412" s="22">
        <f>YEAR(B412)</f>
        <v>2024</v>
      </c>
      <c r="P412" s="25">
        <f>DATE(YEAR(B412),MONTH(B412),1)</f>
        <v>45292</v>
      </c>
      <c r="Q412" s="22" t="str">
        <f>IF(N412&gt;Summary!$C$17,"Outlier","")</f>
        <v/>
      </c>
      <c r="R412" s="22" t="str">
        <f>IF(L412="","None",L412)</f>
        <v>None</v>
      </c>
    </row>
    <row r="413" spans="1:18" x14ac:dyDescent="0.2">
      <c r="A413" s="22" t="s">
        <v>1675</v>
      </c>
      <c r="B413" s="23">
        <v>45462</v>
      </c>
      <c r="C413" s="22" t="s">
        <v>1676</v>
      </c>
      <c r="D413" s="22" t="s">
        <v>66</v>
      </c>
      <c r="E413" s="22">
        <v>2</v>
      </c>
      <c r="F413" s="24">
        <v>39.51</v>
      </c>
      <c r="G413" s="22" t="s">
        <v>707</v>
      </c>
      <c r="H413" s="22" t="s">
        <v>79</v>
      </c>
      <c r="I413" s="22" t="s">
        <v>70</v>
      </c>
      <c r="J413" s="22" t="s">
        <v>1677</v>
      </c>
      <c r="K413" s="22">
        <v>5</v>
      </c>
      <c r="L413" s="22"/>
      <c r="M413" s="22" t="s">
        <v>87</v>
      </c>
      <c r="N413" s="24">
        <v>79.02</v>
      </c>
      <c r="O413" s="22">
        <f>YEAR(B413)</f>
        <v>2024</v>
      </c>
      <c r="P413" s="25">
        <f>DATE(YEAR(B413),MONTH(B413),1)</f>
        <v>45444</v>
      </c>
      <c r="Q413" s="22" t="str">
        <f>IF(N413&gt;Summary!$C$17,"Outlier","")</f>
        <v/>
      </c>
      <c r="R413" s="22" t="str">
        <f>IF(L413="","None",L413)</f>
        <v>None</v>
      </c>
    </row>
    <row r="414" spans="1:18" x14ac:dyDescent="0.2">
      <c r="A414" s="22" t="s">
        <v>1678</v>
      </c>
      <c r="B414" s="23">
        <v>45758</v>
      </c>
      <c r="C414" s="22" t="s">
        <v>1679</v>
      </c>
      <c r="D414" s="22" t="s">
        <v>64</v>
      </c>
      <c r="E414" s="22">
        <v>5</v>
      </c>
      <c r="F414" s="24">
        <v>133.01</v>
      </c>
      <c r="G414" s="22" t="s">
        <v>1680</v>
      </c>
      <c r="H414" s="22" t="s">
        <v>76</v>
      </c>
      <c r="I414" s="22" t="s">
        <v>72</v>
      </c>
      <c r="J414" s="22" t="s">
        <v>1681</v>
      </c>
      <c r="K414" s="22">
        <v>10</v>
      </c>
      <c r="L414" s="22"/>
      <c r="M414" s="22" t="s">
        <v>87</v>
      </c>
      <c r="N414" s="24">
        <v>665.05</v>
      </c>
      <c r="O414" s="22">
        <f>YEAR(B414)</f>
        <v>2025</v>
      </c>
      <c r="P414" s="25">
        <f>DATE(YEAR(B414),MONTH(B414),1)</f>
        <v>45748</v>
      </c>
      <c r="Q414" s="22" t="str">
        <f>IF(N414&gt;Summary!$C$17,"Outlier","")</f>
        <v/>
      </c>
      <c r="R414" s="22" t="str">
        <f>IF(L414="","None",L414)</f>
        <v>None</v>
      </c>
    </row>
    <row r="415" spans="1:18" x14ac:dyDescent="0.2">
      <c r="A415" s="22" t="s">
        <v>1682</v>
      </c>
      <c r="B415" s="23">
        <v>45207</v>
      </c>
      <c r="C415" s="22" t="s">
        <v>1683</v>
      </c>
      <c r="D415" s="22" t="s">
        <v>64</v>
      </c>
      <c r="E415" s="22">
        <v>1</v>
      </c>
      <c r="F415" s="24">
        <v>118.8</v>
      </c>
      <c r="G415" s="22" t="s">
        <v>1684</v>
      </c>
      <c r="H415" s="22" t="s">
        <v>79</v>
      </c>
      <c r="I415" s="22" t="s">
        <v>69</v>
      </c>
      <c r="J415" s="22" t="s">
        <v>1685</v>
      </c>
      <c r="K415" s="22">
        <v>6</v>
      </c>
      <c r="L415" s="22" t="s">
        <v>83</v>
      </c>
      <c r="M415" s="22" t="s">
        <v>86</v>
      </c>
      <c r="N415" s="24">
        <v>118.8</v>
      </c>
      <c r="O415" s="22">
        <f>YEAR(B415)</f>
        <v>2023</v>
      </c>
      <c r="P415" s="25">
        <f>DATE(YEAR(B415),MONTH(B415),1)</f>
        <v>45200</v>
      </c>
      <c r="Q415" s="22" t="str">
        <f>IF(N415&gt;Summary!$C$17,"Outlier","")</f>
        <v/>
      </c>
      <c r="R415" s="22" t="str">
        <f>IF(L415="","None",L415)</f>
        <v>SAVE10</v>
      </c>
    </row>
    <row r="416" spans="1:18" x14ac:dyDescent="0.2">
      <c r="A416" s="22" t="s">
        <v>1686</v>
      </c>
      <c r="B416" s="23">
        <v>45781</v>
      </c>
      <c r="C416" s="22" t="s">
        <v>1687</v>
      </c>
      <c r="D416" s="22" t="s">
        <v>66</v>
      </c>
      <c r="E416" s="22">
        <v>2</v>
      </c>
      <c r="F416" s="24">
        <v>139.57</v>
      </c>
      <c r="G416" s="22" t="s">
        <v>1688</v>
      </c>
      <c r="H416" s="22" t="s">
        <v>75</v>
      </c>
      <c r="I416" s="22" t="s">
        <v>69</v>
      </c>
      <c r="J416" s="22" t="s">
        <v>1689</v>
      </c>
      <c r="K416" s="22">
        <v>4</v>
      </c>
      <c r="L416" s="22" t="s">
        <v>84</v>
      </c>
      <c r="M416" s="22" t="s">
        <v>87</v>
      </c>
      <c r="N416" s="24">
        <v>279.14</v>
      </c>
      <c r="O416" s="22">
        <f>YEAR(B416)</f>
        <v>2025</v>
      </c>
      <c r="P416" s="25">
        <f>DATE(YEAR(B416),MONTH(B416),1)</f>
        <v>45778</v>
      </c>
      <c r="Q416" s="22" t="str">
        <f>IF(N416&gt;Summary!$C$17,"Outlier","")</f>
        <v/>
      </c>
      <c r="R416" s="22" t="str">
        <f>IF(L416="","None",L416)</f>
        <v>WINTER15</v>
      </c>
    </row>
    <row r="417" spans="1:18" x14ac:dyDescent="0.2">
      <c r="A417" s="22" t="s">
        <v>1690</v>
      </c>
      <c r="B417" s="23">
        <v>45753</v>
      </c>
      <c r="C417" s="22" t="s">
        <v>1691</v>
      </c>
      <c r="D417" s="22" t="s">
        <v>61</v>
      </c>
      <c r="E417" s="22">
        <v>1</v>
      </c>
      <c r="F417" s="24">
        <v>184.15</v>
      </c>
      <c r="G417" s="22" t="s">
        <v>1151</v>
      </c>
      <c r="H417" s="22" t="s">
        <v>78</v>
      </c>
      <c r="I417" s="22" t="s">
        <v>70</v>
      </c>
      <c r="J417" s="22" t="s">
        <v>1692</v>
      </c>
      <c r="K417" s="22">
        <v>5</v>
      </c>
      <c r="L417" s="22" t="s">
        <v>82</v>
      </c>
      <c r="M417" s="22" t="s">
        <v>87</v>
      </c>
      <c r="N417" s="24">
        <v>184.15</v>
      </c>
      <c r="O417" s="22">
        <f>YEAR(B417)</f>
        <v>2025</v>
      </c>
      <c r="P417" s="25">
        <f>DATE(YEAR(B417),MONTH(B417),1)</f>
        <v>45748</v>
      </c>
      <c r="Q417" s="22" t="str">
        <f>IF(N417&gt;Summary!$C$17,"Outlier","")</f>
        <v/>
      </c>
      <c r="R417" s="22" t="str">
        <f>IF(L417="","None",L417)</f>
        <v>FREESHIP</v>
      </c>
    </row>
    <row r="418" spans="1:18" x14ac:dyDescent="0.2">
      <c r="A418" s="22" t="s">
        <v>1693</v>
      </c>
      <c r="B418" s="23">
        <v>45125</v>
      </c>
      <c r="C418" s="22" t="s">
        <v>1694</v>
      </c>
      <c r="D418" s="22" t="s">
        <v>63</v>
      </c>
      <c r="E418" s="22">
        <v>2</v>
      </c>
      <c r="F418" s="24">
        <v>644.04999999999995</v>
      </c>
      <c r="G418" s="22" t="s">
        <v>1695</v>
      </c>
      <c r="H418" s="22" t="s">
        <v>78</v>
      </c>
      <c r="I418" s="22" t="s">
        <v>73</v>
      </c>
      <c r="J418" s="22" t="s">
        <v>1696</v>
      </c>
      <c r="K418" s="22">
        <v>5</v>
      </c>
      <c r="L418" s="22" t="s">
        <v>84</v>
      </c>
      <c r="M418" s="22" t="s">
        <v>90</v>
      </c>
      <c r="N418" s="24">
        <v>1288.0999999999999</v>
      </c>
      <c r="O418" s="22">
        <f>YEAR(B418)</f>
        <v>2023</v>
      </c>
      <c r="P418" s="25">
        <f>DATE(YEAR(B418),MONTH(B418),1)</f>
        <v>45108</v>
      </c>
      <c r="Q418" s="22" t="str">
        <f>IF(N418&gt;Summary!$C$17,"Outlier","")</f>
        <v/>
      </c>
      <c r="R418" s="22" t="str">
        <f>IF(L418="","None",L418)</f>
        <v>WINTER15</v>
      </c>
    </row>
    <row r="419" spans="1:18" x14ac:dyDescent="0.2">
      <c r="A419" s="22" t="s">
        <v>1697</v>
      </c>
      <c r="B419" s="23">
        <v>45223</v>
      </c>
      <c r="C419" s="22" t="s">
        <v>1698</v>
      </c>
      <c r="D419" s="22" t="s">
        <v>63</v>
      </c>
      <c r="E419" s="22">
        <v>5</v>
      </c>
      <c r="F419" s="24">
        <v>55.41</v>
      </c>
      <c r="G419" s="22" t="s">
        <v>1699</v>
      </c>
      <c r="H419" s="22" t="s">
        <v>79</v>
      </c>
      <c r="I419" s="22" t="s">
        <v>73</v>
      </c>
      <c r="J419" s="22" t="s">
        <v>1700</v>
      </c>
      <c r="K419" s="22">
        <v>5</v>
      </c>
      <c r="L419" s="22"/>
      <c r="M419" s="22" t="s">
        <v>88</v>
      </c>
      <c r="N419" s="24">
        <v>277.05</v>
      </c>
      <c r="O419" s="22">
        <f>YEAR(B419)</f>
        <v>2023</v>
      </c>
      <c r="P419" s="25">
        <f>DATE(YEAR(B419),MONTH(B419),1)</f>
        <v>45200</v>
      </c>
      <c r="Q419" s="22" t="str">
        <f>IF(N419&gt;Summary!$C$17,"Outlier","")</f>
        <v/>
      </c>
      <c r="R419" s="22" t="str">
        <f>IF(L419="","None",L419)</f>
        <v>None</v>
      </c>
    </row>
    <row r="420" spans="1:18" x14ac:dyDescent="0.2">
      <c r="A420" s="22" t="s">
        <v>1701</v>
      </c>
      <c r="B420" s="23">
        <v>44937</v>
      </c>
      <c r="C420" s="22" t="s">
        <v>1702</v>
      </c>
      <c r="D420" s="22" t="s">
        <v>62</v>
      </c>
      <c r="E420" s="22">
        <v>1</v>
      </c>
      <c r="F420" s="24">
        <v>310.93</v>
      </c>
      <c r="G420" s="22" t="s">
        <v>1703</v>
      </c>
      <c r="H420" s="22" t="s">
        <v>79</v>
      </c>
      <c r="I420" s="22" t="s">
        <v>73</v>
      </c>
      <c r="J420" s="22" t="s">
        <v>1704</v>
      </c>
      <c r="K420" s="22">
        <v>3</v>
      </c>
      <c r="L420" s="22"/>
      <c r="M420" s="22" t="s">
        <v>87</v>
      </c>
      <c r="N420" s="24">
        <v>310.93</v>
      </c>
      <c r="O420" s="22">
        <f>YEAR(B420)</f>
        <v>2023</v>
      </c>
      <c r="P420" s="25">
        <f>DATE(YEAR(B420),MONTH(B420),1)</f>
        <v>44927</v>
      </c>
      <c r="Q420" s="22" t="str">
        <f>IF(N420&gt;Summary!$C$17,"Outlier","")</f>
        <v/>
      </c>
      <c r="R420" s="22" t="str">
        <f>IF(L420="","None",L420)</f>
        <v>None</v>
      </c>
    </row>
    <row r="421" spans="1:18" x14ac:dyDescent="0.2">
      <c r="A421" s="22" t="s">
        <v>1705</v>
      </c>
      <c r="B421" s="23">
        <v>45399</v>
      </c>
      <c r="C421" s="22" t="s">
        <v>1706</v>
      </c>
      <c r="D421" s="22" t="s">
        <v>64</v>
      </c>
      <c r="E421" s="22">
        <v>2</v>
      </c>
      <c r="F421" s="24">
        <v>216.66</v>
      </c>
      <c r="G421" s="22" t="s">
        <v>1451</v>
      </c>
      <c r="H421" s="22" t="s">
        <v>77</v>
      </c>
      <c r="I421" s="22" t="s">
        <v>71</v>
      </c>
      <c r="J421" s="22" t="s">
        <v>1707</v>
      </c>
      <c r="K421" s="22">
        <v>6</v>
      </c>
      <c r="L421" s="22" t="s">
        <v>82</v>
      </c>
      <c r="M421" s="22" t="s">
        <v>89</v>
      </c>
      <c r="N421" s="24">
        <v>433.32</v>
      </c>
      <c r="O421" s="22">
        <f>YEAR(B421)</f>
        <v>2024</v>
      </c>
      <c r="P421" s="25">
        <f>DATE(YEAR(B421),MONTH(B421),1)</f>
        <v>45383</v>
      </c>
      <c r="Q421" s="22" t="str">
        <f>IF(N421&gt;Summary!$C$17,"Outlier","")</f>
        <v/>
      </c>
      <c r="R421" s="22" t="str">
        <f>IF(L421="","None",L421)</f>
        <v>FREESHIP</v>
      </c>
    </row>
    <row r="422" spans="1:18" x14ac:dyDescent="0.2">
      <c r="A422" s="22" t="s">
        <v>1708</v>
      </c>
      <c r="B422" s="23">
        <v>45625</v>
      </c>
      <c r="C422" s="22" t="s">
        <v>1709</v>
      </c>
      <c r="D422" s="22" t="s">
        <v>67</v>
      </c>
      <c r="E422" s="22">
        <v>1</v>
      </c>
      <c r="F422" s="24">
        <v>452.7</v>
      </c>
      <c r="G422" s="22" t="s">
        <v>1710</v>
      </c>
      <c r="H422" s="22" t="s">
        <v>77</v>
      </c>
      <c r="I422" s="22" t="s">
        <v>70</v>
      </c>
      <c r="J422" s="22" t="s">
        <v>1711</v>
      </c>
      <c r="K422" s="22">
        <v>5</v>
      </c>
      <c r="L422" s="22" t="s">
        <v>82</v>
      </c>
      <c r="M422" s="22" t="s">
        <v>89</v>
      </c>
      <c r="N422" s="24">
        <v>452.7</v>
      </c>
      <c r="O422" s="22">
        <f>YEAR(B422)</f>
        <v>2024</v>
      </c>
      <c r="P422" s="25">
        <f>DATE(YEAR(B422),MONTH(B422),1)</f>
        <v>45597</v>
      </c>
      <c r="Q422" s="22" t="str">
        <f>IF(N422&gt;Summary!$C$17,"Outlier","")</f>
        <v/>
      </c>
      <c r="R422" s="22" t="str">
        <f>IF(L422="","None",L422)</f>
        <v>FREESHIP</v>
      </c>
    </row>
    <row r="423" spans="1:18" x14ac:dyDescent="0.2">
      <c r="A423" s="22" t="s">
        <v>1712</v>
      </c>
      <c r="B423" s="23">
        <v>45214</v>
      </c>
      <c r="C423" s="22" t="s">
        <v>1713</v>
      </c>
      <c r="D423" s="22" t="s">
        <v>61</v>
      </c>
      <c r="E423" s="22">
        <v>2</v>
      </c>
      <c r="F423" s="24">
        <v>288.20999999999998</v>
      </c>
      <c r="G423" s="22" t="s">
        <v>1714</v>
      </c>
      <c r="H423" s="22" t="s">
        <v>77</v>
      </c>
      <c r="I423" s="22" t="s">
        <v>73</v>
      </c>
      <c r="J423" s="22" t="s">
        <v>1715</v>
      </c>
      <c r="K423" s="22">
        <v>5</v>
      </c>
      <c r="L423" s="22"/>
      <c r="M423" s="22" t="s">
        <v>86</v>
      </c>
      <c r="N423" s="24">
        <v>576.41999999999996</v>
      </c>
      <c r="O423" s="22">
        <f>YEAR(B423)</f>
        <v>2023</v>
      </c>
      <c r="P423" s="25">
        <f>DATE(YEAR(B423),MONTH(B423),1)</f>
        <v>45200</v>
      </c>
      <c r="Q423" s="22" t="str">
        <f>IF(N423&gt;Summary!$C$17,"Outlier","")</f>
        <v/>
      </c>
      <c r="R423" s="22" t="str">
        <f>IF(L423="","None",L423)</f>
        <v>None</v>
      </c>
    </row>
    <row r="424" spans="1:18" x14ac:dyDescent="0.2">
      <c r="A424" s="22" t="s">
        <v>1716</v>
      </c>
      <c r="B424" s="23">
        <v>45082</v>
      </c>
      <c r="C424" s="22" t="s">
        <v>1717</v>
      </c>
      <c r="D424" s="22" t="s">
        <v>67</v>
      </c>
      <c r="E424" s="22">
        <v>4</v>
      </c>
      <c r="F424" s="24">
        <v>206.6</v>
      </c>
      <c r="G424" s="22" t="s">
        <v>183</v>
      </c>
      <c r="H424" s="22" t="s">
        <v>78</v>
      </c>
      <c r="I424" s="22" t="s">
        <v>72</v>
      </c>
      <c r="J424" s="22" t="s">
        <v>1718</v>
      </c>
      <c r="K424" s="22">
        <v>6</v>
      </c>
      <c r="L424" s="22" t="s">
        <v>84</v>
      </c>
      <c r="M424" s="22" t="s">
        <v>90</v>
      </c>
      <c r="N424" s="24">
        <v>826.4</v>
      </c>
      <c r="O424" s="22">
        <f>YEAR(B424)</f>
        <v>2023</v>
      </c>
      <c r="P424" s="25">
        <f>DATE(YEAR(B424),MONTH(B424),1)</f>
        <v>45078</v>
      </c>
      <c r="Q424" s="22" t="str">
        <f>IF(N424&gt;Summary!$C$17,"Outlier","")</f>
        <v/>
      </c>
      <c r="R424" s="22" t="str">
        <f>IF(L424="","None",L424)</f>
        <v>WINTER15</v>
      </c>
    </row>
    <row r="425" spans="1:18" x14ac:dyDescent="0.2">
      <c r="A425" s="22" t="s">
        <v>1719</v>
      </c>
      <c r="B425" s="23">
        <v>45493</v>
      </c>
      <c r="C425" s="22" t="s">
        <v>1720</v>
      </c>
      <c r="D425" s="22" t="s">
        <v>62</v>
      </c>
      <c r="E425" s="22">
        <v>4</v>
      </c>
      <c r="F425" s="24">
        <v>685.2</v>
      </c>
      <c r="G425" s="22" t="s">
        <v>1202</v>
      </c>
      <c r="H425" s="22" t="s">
        <v>78</v>
      </c>
      <c r="I425" s="22" t="s">
        <v>73</v>
      </c>
      <c r="J425" s="22" t="s">
        <v>1721</v>
      </c>
      <c r="K425" s="22">
        <v>6</v>
      </c>
      <c r="L425" s="22" t="s">
        <v>84</v>
      </c>
      <c r="M425" s="22" t="s">
        <v>88</v>
      </c>
      <c r="N425" s="24">
        <v>2740.8</v>
      </c>
      <c r="O425" s="22">
        <f>YEAR(B425)</f>
        <v>2024</v>
      </c>
      <c r="P425" s="25">
        <f>DATE(YEAR(B425),MONTH(B425),1)</f>
        <v>45474</v>
      </c>
      <c r="Q425" s="22" t="str">
        <f>IF(N425&gt;Summary!$C$17,"Outlier","")</f>
        <v/>
      </c>
      <c r="R425" s="22" t="str">
        <f>IF(L425="","None",L425)</f>
        <v>WINTER15</v>
      </c>
    </row>
    <row r="426" spans="1:18" x14ac:dyDescent="0.2">
      <c r="A426" s="22" t="s">
        <v>1722</v>
      </c>
      <c r="B426" s="23">
        <v>45028</v>
      </c>
      <c r="C426" s="22" t="s">
        <v>1723</v>
      </c>
      <c r="D426" s="22" t="s">
        <v>61</v>
      </c>
      <c r="E426" s="22">
        <v>5</v>
      </c>
      <c r="F426" s="24">
        <v>22.94</v>
      </c>
      <c r="G426" s="22" t="s">
        <v>1337</v>
      </c>
      <c r="H426" s="22" t="s">
        <v>75</v>
      </c>
      <c r="I426" s="22" t="s">
        <v>71</v>
      </c>
      <c r="J426" s="22" t="s">
        <v>1724</v>
      </c>
      <c r="K426" s="22">
        <v>10</v>
      </c>
      <c r="L426" s="22"/>
      <c r="M426" s="22" t="s">
        <v>86</v>
      </c>
      <c r="N426" s="24">
        <v>114.7</v>
      </c>
      <c r="O426" s="22">
        <f>YEAR(B426)</f>
        <v>2023</v>
      </c>
      <c r="P426" s="25">
        <f>DATE(YEAR(B426),MONTH(B426),1)</f>
        <v>45017</v>
      </c>
      <c r="Q426" s="22" t="str">
        <f>IF(N426&gt;Summary!$C$17,"Outlier","")</f>
        <v/>
      </c>
      <c r="R426" s="22" t="str">
        <f>IF(L426="","None",L426)</f>
        <v>None</v>
      </c>
    </row>
    <row r="427" spans="1:18" x14ac:dyDescent="0.2">
      <c r="A427" s="22" t="s">
        <v>1725</v>
      </c>
      <c r="B427" s="23">
        <v>44994</v>
      </c>
      <c r="C427" s="22" t="s">
        <v>1726</v>
      </c>
      <c r="D427" s="22" t="s">
        <v>63</v>
      </c>
      <c r="E427" s="22">
        <v>2</v>
      </c>
      <c r="F427" s="24">
        <v>301.88</v>
      </c>
      <c r="G427" s="22" t="s">
        <v>1727</v>
      </c>
      <c r="H427" s="22" t="s">
        <v>78</v>
      </c>
      <c r="I427" s="22" t="s">
        <v>72</v>
      </c>
      <c r="J427" s="22" t="s">
        <v>1728</v>
      </c>
      <c r="K427" s="22">
        <v>5</v>
      </c>
      <c r="L427" s="22" t="s">
        <v>84</v>
      </c>
      <c r="M427" s="22" t="s">
        <v>86</v>
      </c>
      <c r="N427" s="24">
        <v>603.76</v>
      </c>
      <c r="O427" s="22">
        <f>YEAR(B427)</f>
        <v>2023</v>
      </c>
      <c r="P427" s="25">
        <f>DATE(YEAR(B427),MONTH(B427),1)</f>
        <v>44986</v>
      </c>
      <c r="Q427" s="22" t="str">
        <f>IF(N427&gt;Summary!$C$17,"Outlier","")</f>
        <v/>
      </c>
      <c r="R427" s="22" t="str">
        <f>IF(L427="","None",L427)</f>
        <v>WINTER15</v>
      </c>
    </row>
    <row r="428" spans="1:18" x14ac:dyDescent="0.2">
      <c r="A428" s="22" t="s">
        <v>1729</v>
      </c>
      <c r="B428" s="23">
        <v>45732</v>
      </c>
      <c r="C428" s="22" t="s">
        <v>1730</v>
      </c>
      <c r="D428" s="22" t="s">
        <v>65</v>
      </c>
      <c r="E428" s="22">
        <v>5</v>
      </c>
      <c r="F428" s="24">
        <v>57.45</v>
      </c>
      <c r="G428" s="22" t="s">
        <v>1731</v>
      </c>
      <c r="H428" s="22" t="s">
        <v>75</v>
      </c>
      <c r="I428" s="22" t="s">
        <v>73</v>
      </c>
      <c r="J428" s="22" t="s">
        <v>1732</v>
      </c>
      <c r="K428" s="22">
        <v>10</v>
      </c>
      <c r="L428" s="22"/>
      <c r="M428" s="22" t="s">
        <v>87</v>
      </c>
      <c r="N428" s="24">
        <v>287.25</v>
      </c>
      <c r="O428" s="22">
        <f>YEAR(B428)</f>
        <v>2025</v>
      </c>
      <c r="P428" s="25">
        <f>DATE(YEAR(B428),MONTH(B428),1)</f>
        <v>45717</v>
      </c>
      <c r="Q428" s="22" t="str">
        <f>IF(N428&gt;Summary!$C$17,"Outlier","")</f>
        <v/>
      </c>
      <c r="R428" s="22" t="str">
        <f>IF(L428="","None",L428)</f>
        <v>None</v>
      </c>
    </row>
    <row r="429" spans="1:18" x14ac:dyDescent="0.2">
      <c r="A429" s="22" t="s">
        <v>1733</v>
      </c>
      <c r="B429" s="23">
        <v>45644</v>
      </c>
      <c r="C429" s="22" t="s">
        <v>1734</v>
      </c>
      <c r="D429" s="22" t="s">
        <v>66</v>
      </c>
      <c r="E429" s="22">
        <v>1</v>
      </c>
      <c r="F429" s="24">
        <v>161.24</v>
      </c>
      <c r="G429" s="22" t="s">
        <v>1735</v>
      </c>
      <c r="H429" s="22" t="s">
        <v>76</v>
      </c>
      <c r="I429" s="22" t="s">
        <v>71</v>
      </c>
      <c r="J429" s="22" t="s">
        <v>1736</v>
      </c>
      <c r="K429" s="22">
        <v>3</v>
      </c>
      <c r="L429" s="22" t="s">
        <v>84</v>
      </c>
      <c r="M429" s="22" t="s">
        <v>89</v>
      </c>
      <c r="N429" s="24">
        <v>161.24</v>
      </c>
      <c r="O429" s="22">
        <f>YEAR(B429)</f>
        <v>2024</v>
      </c>
      <c r="P429" s="25">
        <f>DATE(YEAR(B429),MONTH(B429),1)</f>
        <v>45627</v>
      </c>
      <c r="Q429" s="22" t="str">
        <f>IF(N429&gt;Summary!$C$17,"Outlier","")</f>
        <v/>
      </c>
      <c r="R429" s="22" t="str">
        <f>IF(L429="","None",L429)</f>
        <v>WINTER15</v>
      </c>
    </row>
    <row r="430" spans="1:18" x14ac:dyDescent="0.2">
      <c r="A430" s="22" t="s">
        <v>1737</v>
      </c>
      <c r="B430" s="23">
        <v>45622</v>
      </c>
      <c r="C430" s="22" t="s">
        <v>1738</v>
      </c>
      <c r="D430" s="22" t="s">
        <v>61</v>
      </c>
      <c r="E430" s="22">
        <v>4</v>
      </c>
      <c r="F430" s="24">
        <v>262.58</v>
      </c>
      <c r="G430" s="22" t="s">
        <v>239</v>
      </c>
      <c r="H430" s="22" t="s">
        <v>79</v>
      </c>
      <c r="I430" s="22" t="s">
        <v>73</v>
      </c>
      <c r="J430" s="22" t="s">
        <v>1739</v>
      </c>
      <c r="K430" s="22">
        <v>8</v>
      </c>
      <c r="L430" s="22" t="s">
        <v>84</v>
      </c>
      <c r="M430" s="22" t="s">
        <v>86</v>
      </c>
      <c r="N430" s="24">
        <v>1050.32</v>
      </c>
      <c r="O430" s="22">
        <f>YEAR(B430)</f>
        <v>2024</v>
      </c>
      <c r="P430" s="25">
        <f>DATE(YEAR(B430),MONTH(B430),1)</f>
        <v>45597</v>
      </c>
      <c r="Q430" s="22" t="str">
        <f>IF(N430&gt;Summary!$C$17,"Outlier","")</f>
        <v/>
      </c>
      <c r="R430" s="22" t="str">
        <f>IF(L430="","None",L430)</f>
        <v>WINTER15</v>
      </c>
    </row>
    <row r="431" spans="1:18" x14ac:dyDescent="0.2">
      <c r="A431" s="22" t="s">
        <v>1740</v>
      </c>
      <c r="B431" s="23">
        <v>45645</v>
      </c>
      <c r="C431" s="22" t="s">
        <v>1741</v>
      </c>
      <c r="D431" s="22" t="s">
        <v>62</v>
      </c>
      <c r="E431" s="22">
        <v>4</v>
      </c>
      <c r="F431" s="24">
        <v>515.19000000000005</v>
      </c>
      <c r="G431" s="22" t="s">
        <v>543</v>
      </c>
      <c r="H431" s="22" t="s">
        <v>76</v>
      </c>
      <c r="I431" s="22" t="s">
        <v>71</v>
      </c>
      <c r="J431" s="22" t="s">
        <v>1742</v>
      </c>
      <c r="K431" s="22">
        <v>9</v>
      </c>
      <c r="L431" s="22" t="s">
        <v>83</v>
      </c>
      <c r="M431" s="22" t="s">
        <v>87</v>
      </c>
      <c r="N431" s="24">
        <v>2060.7600000000002</v>
      </c>
      <c r="O431" s="22">
        <f>YEAR(B431)</f>
        <v>2024</v>
      </c>
      <c r="P431" s="25">
        <f>DATE(YEAR(B431),MONTH(B431),1)</f>
        <v>45627</v>
      </c>
      <c r="Q431" s="22" t="str">
        <f>IF(N431&gt;Summary!$C$17,"Outlier","")</f>
        <v/>
      </c>
      <c r="R431" s="22" t="str">
        <f>IF(L431="","None",L431)</f>
        <v>SAVE10</v>
      </c>
    </row>
    <row r="432" spans="1:18" x14ac:dyDescent="0.2">
      <c r="A432" s="22" t="s">
        <v>1743</v>
      </c>
      <c r="B432" s="23">
        <v>45084</v>
      </c>
      <c r="C432" s="22" t="s">
        <v>1744</v>
      </c>
      <c r="D432" s="22" t="s">
        <v>67</v>
      </c>
      <c r="E432" s="22">
        <v>1</v>
      </c>
      <c r="F432" s="24">
        <v>450.07</v>
      </c>
      <c r="G432" s="22" t="s">
        <v>1745</v>
      </c>
      <c r="H432" s="22" t="s">
        <v>78</v>
      </c>
      <c r="I432" s="22" t="s">
        <v>70</v>
      </c>
      <c r="J432" s="22" t="s">
        <v>1746</v>
      </c>
      <c r="K432" s="22">
        <v>6</v>
      </c>
      <c r="L432" s="22" t="s">
        <v>82</v>
      </c>
      <c r="M432" s="22" t="s">
        <v>88</v>
      </c>
      <c r="N432" s="24">
        <v>450.07</v>
      </c>
      <c r="O432" s="22">
        <f>YEAR(B432)</f>
        <v>2023</v>
      </c>
      <c r="P432" s="25">
        <f>DATE(YEAR(B432),MONTH(B432),1)</f>
        <v>45078</v>
      </c>
      <c r="Q432" s="22" t="str">
        <f>IF(N432&gt;Summary!$C$17,"Outlier","")</f>
        <v/>
      </c>
      <c r="R432" s="22" t="str">
        <f>IF(L432="","None",L432)</f>
        <v>FREESHIP</v>
      </c>
    </row>
    <row r="433" spans="1:18" x14ac:dyDescent="0.2">
      <c r="A433" s="22" t="s">
        <v>1747</v>
      </c>
      <c r="B433" s="23">
        <v>45571</v>
      </c>
      <c r="C433" s="22" t="s">
        <v>1748</v>
      </c>
      <c r="D433" s="22" t="s">
        <v>62</v>
      </c>
      <c r="E433" s="22">
        <v>1</v>
      </c>
      <c r="F433" s="24">
        <v>52.54</v>
      </c>
      <c r="G433" s="22" t="s">
        <v>729</v>
      </c>
      <c r="H433" s="22" t="s">
        <v>77</v>
      </c>
      <c r="I433" s="22" t="s">
        <v>73</v>
      </c>
      <c r="J433" s="22" t="s">
        <v>1749</v>
      </c>
      <c r="K433" s="22">
        <v>6</v>
      </c>
      <c r="L433" s="22" t="s">
        <v>84</v>
      </c>
      <c r="M433" s="22" t="s">
        <v>87</v>
      </c>
      <c r="N433" s="24">
        <v>52.54</v>
      </c>
      <c r="O433" s="22">
        <f>YEAR(B433)</f>
        <v>2024</v>
      </c>
      <c r="P433" s="25">
        <f>DATE(YEAR(B433),MONTH(B433),1)</f>
        <v>45566</v>
      </c>
      <c r="Q433" s="22" t="str">
        <f>IF(N433&gt;Summary!$C$17,"Outlier","")</f>
        <v/>
      </c>
      <c r="R433" s="22" t="str">
        <f>IF(L433="","None",L433)</f>
        <v>WINTER15</v>
      </c>
    </row>
    <row r="434" spans="1:18" x14ac:dyDescent="0.2">
      <c r="A434" s="22" t="s">
        <v>1750</v>
      </c>
      <c r="B434" s="23">
        <v>45173</v>
      </c>
      <c r="C434" s="22" t="s">
        <v>1751</v>
      </c>
      <c r="D434" s="22" t="s">
        <v>64</v>
      </c>
      <c r="E434" s="22">
        <v>2</v>
      </c>
      <c r="F434" s="24">
        <v>424.32</v>
      </c>
      <c r="G434" s="22" t="s">
        <v>1752</v>
      </c>
      <c r="H434" s="22" t="s">
        <v>76</v>
      </c>
      <c r="I434" s="22" t="s">
        <v>72</v>
      </c>
      <c r="J434" s="22" t="s">
        <v>1753</v>
      </c>
      <c r="K434" s="22">
        <v>6</v>
      </c>
      <c r="L434" s="22"/>
      <c r="M434" s="22" t="s">
        <v>90</v>
      </c>
      <c r="N434" s="24">
        <v>848.64</v>
      </c>
      <c r="O434" s="22">
        <f>YEAR(B434)</f>
        <v>2023</v>
      </c>
      <c r="P434" s="25">
        <f>DATE(YEAR(B434),MONTH(B434),1)</f>
        <v>45170</v>
      </c>
      <c r="Q434" s="22" t="str">
        <f>IF(N434&gt;Summary!$C$17,"Outlier","")</f>
        <v/>
      </c>
      <c r="R434" s="22" t="str">
        <f>IF(L434="","None",L434)</f>
        <v>None</v>
      </c>
    </row>
    <row r="435" spans="1:18" x14ac:dyDescent="0.2">
      <c r="A435" s="22" t="s">
        <v>1754</v>
      </c>
      <c r="B435" s="23">
        <v>45164</v>
      </c>
      <c r="C435" s="22" t="s">
        <v>1755</v>
      </c>
      <c r="D435" s="22" t="s">
        <v>65</v>
      </c>
      <c r="E435" s="22">
        <v>3</v>
      </c>
      <c r="F435" s="24">
        <v>631.64</v>
      </c>
      <c r="G435" s="22" t="s">
        <v>1073</v>
      </c>
      <c r="H435" s="22" t="s">
        <v>76</v>
      </c>
      <c r="I435" s="22" t="s">
        <v>72</v>
      </c>
      <c r="J435" s="22" t="s">
        <v>1756</v>
      </c>
      <c r="K435" s="22">
        <v>3</v>
      </c>
      <c r="L435" s="22" t="s">
        <v>82</v>
      </c>
      <c r="M435" s="22" t="s">
        <v>87</v>
      </c>
      <c r="N435" s="24">
        <v>1894.92</v>
      </c>
      <c r="O435" s="22">
        <f>YEAR(B435)</f>
        <v>2023</v>
      </c>
      <c r="P435" s="25">
        <f>DATE(YEAR(B435),MONTH(B435),1)</f>
        <v>45139</v>
      </c>
      <c r="Q435" s="22" t="str">
        <f>IF(N435&gt;Summary!$C$17,"Outlier","")</f>
        <v/>
      </c>
      <c r="R435" s="22" t="str">
        <f>IF(L435="","None",L435)</f>
        <v>FREESHIP</v>
      </c>
    </row>
    <row r="436" spans="1:18" x14ac:dyDescent="0.2">
      <c r="A436" s="22" t="s">
        <v>1757</v>
      </c>
      <c r="B436" s="23">
        <v>45221</v>
      </c>
      <c r="C436" s="22" t="s">
        <v>1758</v>
      </c>
      <c r="D436" s="22" t="s">
        <v>62</v>
      </c>
      <c r="E436" s="22">
        <v>5</v>
      </c>
      <c r="F436" s="24">
        <v>327.68</v>
      </c>
      <c r="G436" s="22" t="s">
        <v>394</v>
      </c>
      <c r="H436" s="22" t="s">
        <v>76</v>
      </c>
      <c r="I436" s="22" t="s">
        <v>72</v>
      </c>
      <c r="J436" s="22" t="s">
        <v>1759</v>
      </c>
      <c r="K436" s="22">
        <v>6</v>
      </c>
      <c r="L436" s="22"/>
      <c r="M436" s="22" t="s">
        <v>87</v>
      </c>
      <c r="N436" s="24">
        <v>1638.4</v>
      </c>
      <c r="O436" s="22">
        <f>YEAR(B436)</f>
        <v>2023</v>
      </c>
      <c r="P436" s="25">
        <f>DATE(YEAR(B436),MONTH(B436),1)</f>
        <v>45200</v>
      </c>
      <c r="Q436" s="22" t="str">
        <f>IF(N436&gt;Summary!$C$17,"Outlier","")</f>
        <v/>
      </c>
      <c r="R436" s="22" t="str">
        <f>IF(L436="","None",L436)</f>
        <v>None</v>
      </c>
    </row>
    <row r="437" spans="1:18" x14ac:dyDescent="0.2">
      <c r="A437" s="22" t="s">
        <v>1760</v>
      </c>
      <c r="B437" s="23">
        <v>45073</v>
      </c>
      <c r="C437" s="22" t="s">
        <v>1761</v>
      </c>
      <c r="D437" s="22" t="s">
        <v>62</v>
      </c>
      <c r="E437" s="22">
        <v>1</v>
      </c>
      <c r="F437" s="24">
        <v>414.47</v>
      </c>
      <c r="G437" s="22" t="s">
        <v>1333</v>
      </c>
      <c r="H437" s="22" t="s">
        <v>77</v>
      </c>
      <c r="I437" s="22" t="s">
        <v>72</v>
      </c>
      <c r="J437" s="22" t="s">
        <v>1762</v>
      </c>
      <c r="K437" s="22">
        <v>3</v>
      </c>
      <c r="L437" s="22" t="s">
        <v>82</v>
      </c>
      <c r="M437" s="22" t="s">
        <v>89</v>
      </c>
      <c r="N437" s="24">
        <v>414.47</v>
      </c>
      <c r="O437" s="22">
        <f>YEAR(B437)</f>
        <v>2023</v>
      </c>
      <c r="P437" s="25">
        <f>DATE(YEAR(B437),MONTH(B437),1)</f>
        <v>45047</v>
      </c>
      <c r="Q437" s="22" t="str">
        <f>IF(N437&gt;Summary!$C$17,"Outlier","")</f>
        <v/>
      </c>
      <c r="R437" s="22" t="str">
        <f>IF(L437="","None",L437)</f>
        <v>FREESHIP</v>
      </c>
    </row>
    <row r="438" spans="1:18" x14ac:dyDescent="0.2">
      <c r="A438" s="22" t="s">
        <v>1763</v>
      </c>
      <c r="B438" s="23">
        <v>44968</v>
      </c>
      <c r="C438" s="22" t="s">
        <v>1764</v>
      </c>
      <c r="D438" s="22" t="s">
        <v>63</v>
      </c>
      <c r="E438" s="22">
        <v>4</v>
      </c>
      <c r="F438" s="24">
        <v>221.33</v>
      </c>
      <c r="G438" s="22" t="s">
        <v>729</v>
      </c>
      <c r="H438" s="22" t="s">
        <v>79</v>
      </c>
      <c r="I438" s="22" t="s">
        <v>71</v>
      </c>
      <c r="J438" s="22" t="s">
        <v>1765</v>
      </c>
      <c r="K438" s="22">
        <v>5</v>
      </c>
      <c r="L438" s="22"/>
      <c r="M438" s="22" t="s">
        <v>88</v>
      </c>
      <c r="N438" s="24">
        <v>885.32</v>
      </c>
      <c r="O438" s="22">
        <f>YEAR(B438)</f>
        <v>2023</v>
      </c>
      <c r="P438" s="25">
        <f>DATE(YEAR(B438),MONTH(B438),1)</f>
        <v>44958</v>
      </c>
      <c r="Q438" s="22" t="str">
        <f>IF(N438&gt;Summary!$C$17,"Outlier","")</f>
        <v/>
      </c>
      <c r="R438" s="22" t="str">
        <f>IF(L438="","None",L438)</f>
        <v>None</v>
      </c>
    </row>
    <row r="439" spans="1:18" x14ac:dyDescent="0.2">
      <c r="A439" s="22" t="s">
        <v>1766</v>
      </c>
      <c r="B439" s="23">
        <v>45400</v>
      </c>
      <c r="C439" s="22" t="s">
        <v>1767</v>
      </c>
      <c r="D439" s="22" t="s">
        <v>67</v>
      </c>
      <c r="E439" s="22">
        <v>1</v>
      </c>
      <c r="F439" s="24">
        <v>512.39</v>
      </c>
      <c r="G439" s="22" t="s">
        <v>1768</v>
      </c>
      <c r="H439" s="22" t="s">
        <v>79</v>
      </c>
      <c r="I439" s="22" t="s">
        <v>69</v>
      </c>
      <c r="J439" s="22" t="s">
        <v>1769</v>
      </c>
      <c r="K439" s="22">
        <v>2</v>
      </c>
      <c r="L439" s="22" t="s">
        <v>82</v>
      </c>
      <c r="M439" s="22" t="s">
        <v>89</v>
      </c>
      <c r="N439" s="24">
        <v>512.39</v>
      </c>
      <c r="O439" s="22">
        <f>YEAR(B439)</f>
        <v>2024</v>
      </c>
      <c r="P439" s="25">
        <f>DATE(YEAR(B439),MONTH(B439),1)</f>
        <v>45383</v>
      </c>
      <c r="Q439" s="22" t="str">
        <f>IF(N439&gt;Summary!$C$17,"Outlier","")</f>
        <v/>
      </c>
      <c r="R439" s="22" t="str">
        <f>IF(L439="","None",L439)</f>
        <v>FREESHIP</v>
      </c>
    </row>
    <row r="440" spans="1:18" x14ac:dyDescent="0.2">
      <c r="A440" s="22" t="s">
        <v>1770</v>
      </c>
      <c r="B440" s="23">
        <v>45660</v>
      </c>
      <c r="C440" s="22" t="s">
        <v>1771</v>
      </c>
      <c r="D440" s="22" t="s">
        <v>64</v>
      </c>
      <c r="E440" s="22">
        <v>3</v>
      </c>
      <c r="F440" s="24">
        <v>459.34</v>
      </c>
      <c r="G440" s="22" t="s">
        <v>1772</v>
      </c>
      <c r="H440" s="22" t="s">
        <v>78</v>
      </c>
      <c r="I440" s="22" t="s">
        <v>71</v>
      </c>
      <c r="J440" s="22" t="s">
        <v>1773</v>
      </c>
      <c r="K440" s="22">
        <v>3</v>
      </c>
      <c r="L440" s="22" t="s">
        <v>83</v>
      </c>
      <c r="M440" s="22" t="s">
        <v>89</v>
      </c>
      <c r="N440" s="24">
        <v>1378.02</v>
      </c>
      <c r="O440" s="22">
        <f>YEAR(B440)</f>
        <v>2025</v>
      </c>
      <c r="P440" s="25">
        <f>DATE(YEAR(B440),MONTH(B440),1)</f>
        <v>45658</v>
      </c>
      <c r="Q440" s="22" t="str">
        <f>IF(N440&gt;Summary!$C$17,"Outlier","")</f>
        <v/>
      </c>
      <c r="R440" s="22" t="str">
        <f>IF(L440="","None",L440)</f>
        <v>SAVE10</v>
      </c>
    </row>
    <row r="441" spans="1:18" x14ac:dyDescent="0.2">
      <c r="A441" s="22" t="s">
        <v>1774</v>
      </c>
      <c r="B441" s="23">
        <v>45543</v>
      </c>
      <c r="C441" s="22" t="s">
        <v>1775</v>
      </c>
      <c r="D441" s="22" t="s">
        <v>64</v>
      </c>
      <c r="E441" s="22">
        <v>1</v>
      </c>
      <c r="F441" s="24">
        <v>146.32</v>
      </c>
      <c r="G441" s="22" t="s">
        <v>1776</v>
      </c>
      <c r="H441" s="22" t="s">
        <v>79</v>
      </c>
      <c r="I441" s="22" t="s">
        <v>70</v>
      </c>
      <c r="J441" s="22" t="s">
        <v>1777</v>
      </c>
      <c r="K441" s="22">
        <v>4</v>
      </c>
      <c r="L441" s="22" t="s">
        <v>84</v>
      </c>
      <c r="M441" s="22" t="s">
        <v>87</v>
      </c>
      <c r="N441" s="24">
        <v>146.32</v>
      </c>
      <c r="O441" s="22">
        <f>YEAR(B441)</f>
        <v>2024</v>
      </c>
      <c r="P441" s="25">
        <f>DATE(YEAR(B441),MONTH(B441),1)</f>
        <v>45536</v>
      </c>
      <c r="Q441" s="22" t="str">
        <f>IF(N441&gt;Summary!$C$17,"Outlier","")</f>
        <v/>
      </c>
      <c r="R441" s="22" t="str">
        <f>IF(L441="","None",L441)</f>
        <v>WINTER15</v>
      </c>
    </row>
    <row r="442" spans="1:18" x14ac:dyDescent="0.2">
      <c r="A442" s="22" t="s">
        <v>1778</v>
      </c>
      <c r="B442" s="23">
        <v>45601</v>
      </c>
      <c r="C442" s="22" t="s">
        <v>1779</v>
      </c>
      <c r="D442" s="22" t="s">
        <v>66</v>
      </c>
      <c r="E442" s="22">
        <v>4</v>
      </c>
      <c r="F442" s="24">
        <v>83.6</v>
      </c>
      <c r="G442" s="22" t="s">
        <v>1321</v>
      </c>
      <c r="H442" s="22" t="s">
        <v>77</v>
      </c>
      <c r="I442" s="22" t="s">
        <v>71</v>
      </c>
      <c r="J442" s="22" t="s">
        <v>1780</v>
      </c>
      <c r="K442" s="22">
        <v>4</v>
      </c>
      <c r="L442" s="22" t="s">
        <v>83</v>
      </c>
      <c r="M442" s="22" t="s">
        <v>87</v>
      </c>
      <c r="N442" s="24">
        <v>334.4</v>
      </c>
      <c r="O442" s="22">
        <f>YEAR(B442)</f>
        <v>2024</v>
      </c>
      <c r="P442" s="25">
        <f>DATE(YEAR(B442),MONTH(B442),1)</f>
        <v>45597</v>
      </c>
      <c r="Q442" s="22" t="str">
        <f>IF(N442&gt;Summary!$C$17,"Outlier","")</f>
        <v/>
      </c>
      <c r="R442" s="22" t="str">
        <f>IF(L442="","None",L442)</f>
        <v>SAVE10</v>
      </c>
    </row>
    <row r="443" spans="1:18" x14ac:dyDescent="0.2">
      <c r="A443" s="22" t="s">
        <v>1781</v>
      </c>
      <c r="B443" s="23">
        <v>45273</v>
      </c>
      <c r="C443" s="22" t="s">
        <v>1782</v>
      </c>
      <c r="D443" s="22" t="s">
        <v>62</v>
      </c>
      <c r="E443" s="22">
        <v>2</v>
      </c>
      <c r="F443" s="24">
        <v>328.54</v>
      </c>
      <c r="G443" s="22" t="s">
        <v>1783</v>
      </c>
      <c r="H443" s="22" t="s">
        <v>78</v>
      </c>
      <c r="I443" s="22" t="s">
        <v>72</v>
      </c>
      <c r="J443" s="22" t="s">
        <v>1784</v>
      </c>
      <c r="K443" s="22">
        <v>6</v>
      </c>
      <c r="L443" s="22" t="s">
        <v>82</v>
      </c>
      <c r="M443" s="22" t="s">
        <v>86</v>
      </c>
      <c r="N443" s="24">
        <v>657.08</v>
      </c>
      <c r="O443" s="22">
        <f>YEAR(B443)</f>
        <v>2023</v>
      </c>
      <c r="P443" s="25">
        <f>DATE(YEAR(B443),MONTH(B443),1)</f>
        <v>45261</v>
      </c>
      <c r="Q443" s="22" t="str">
        <f>IF(N443&gt;Summary!$C$17,"Outlier","")</f>
        <v/>
      </c>
      <c r="R443" s="22" t="str">
        <f>IF(L443="","None",L443)</f>
        <v>FREESHIP</v>
      </c>
    </row>
    <row r="444" spans="1:18" x14ac:dyDescent="0.2">
      <c r="A444" s="22" t="s">
        <v>1785</v>
      </c>
      <c r="B444" s="23">
        <v>45418</v>
      </c>
      <c r="C444" s="22" t="s">
        <v>1786</v>
      </c>
      <c r="D444" s="22" t="s">
        <v>61</v>
      </c>
      <c r="E444" s="22">
        <v>5</v>
      </c>
      <c r="F444" s="24">
        <v>314.94</v>
      </c>
      <c r="G444" s="22" t="s">
        <v>1787</v>
      </c>
      <c r="H444" s="22" t="s">
        <v>75</v>
      </c>
      <c r="I444" s="22" t="s">
        <v>71</v>
      </c>
      <c r="J444" s="22" t="s">
        <v>1788</v>
      </c>
      <c r="K444" s="22">
        <v>8</v>
      </c>
      <c r="L444" s="22" t="s">
        <v>83</v>
      </c>
      <c r="M444" s="22" t="s">
        <v>89</v>
      </c>
      <c r="N444" s="24">
        <v>1574.7</v>
      </c>
      <c r="O444" s="22">
        <f>YEAR(B444)</f>
        <v>2024</v>
      </c>
      <c r="P444" s="25">
        <f>DATE(YEAR(B444),MONTH(B444),1)</f>
        <v>45413</v>
      </c>
      <c r="Q444" s="22" t="str">
        <f>IF(N444&gt;Summary!$C$17,"Outlier","")</f>
        <v/>
      </c>
      <c r="R444" s="22" t="str">
        <f>IF(L444="","None",L444)</f>
        <v>SAVE10</v>
      </c>
    </row>
    <row r="445" spans="1:18" x14ac:dyDescent="0.2">
      <c r="A445" s="22" t="s">
        <v>1789</v>
      </c>
      <c r="B445" s="23">
        <v>45426</v>
      </c>
      <c r="C445" s="22" t="s">
        <v>1790</v>
      </c>
      <c r="D445" s="22" t="s">
        <v>61</v>
      </c>
      <c r="E445" s="22">
        <v>2</v>
      </c>
      <c r="F445" s="24">
        <v>69.64</v>
      </c>
      <c r="G445" s="22" t="s">
        <v>367</v>
      </c>
      <c r="H445" s="22" t="s">
        <v>75</v>
      </c>
      <c r="I445" s="22" t="s">
        <v>72</v>
      </c>
      <c r="J445" s="22" t="s">
        <v>1791</v>
      </c>
      <c r="K445" s="22">
        <v>6</v>
      </c>
      <c r="L445" s="22"/>
      <c r="M445" s="22" t="s">
        <v>87</v>
      </c>
      <c r="N445" s="24">
        <v>139.28</v>
      </c>
      <c r="O445" s="22">
        <f>YEAR(B445)</f>
        <v>2024</v>
      </c>
      <c r="P445" s="25">
        <f>DATE(YEAR(B445),MONTH(B445),1)</f>
        <v>45413</v>
      </c>
      <c r="Q445" s="22" t="str">
        <f>IF(N445&gt;Summary!$C$17,"Outlier","")</f>
        <v/>
      </c>
      <c r="R445" s="22" t="str">
        <f>IF(L445="","None",L445)</f>
        <v>None</v>
      </c>
    </row>
    <row r="446" spans="1:18" x14ac:dyDescent="0.2">
      <c r="A446" s="22" t="s">
        <v>1792</v>
      </c>
      <c r="B446" s="23">
        <v>45451</v>
      </c>
      <c r="C446" s="22" t="s">
        <v>1793</v>
      </c>
      <c r="D446" s="22" t="s">
        <v>62</v>
      </c>
      <c r="E446" s="22">
        <v>1</v>
      </c>
      <c r="F446" s="24">
        <v>135.16999999999999</v>
      </c>
      <c r="G446" s="22" t="s">
        <v>1794</v>
      </c>
      <c r="H446" s="22" t="s">
        <v>79</v>
      </c>
      <c r="I446" s="22" t="s">
        <v>70</v>
      </c>
      <c r="J446" s="22" t="s">
        <v>1795</v>
      </c>
      <c r="K446" s="22">
        <v>6</v>
      </c>
      <c r="L446" s="22" t="s">
        <v>82</v>
      </c>
      <c r="M446" s="22" t="s">
        <v>89</v>
      </c>
      <c r="N446" s="24">
        <v>135.16999999999999</v>
      </c>
      <c r="O446" s="22">
        <f>YEAR(B446)</f>
        <v>2024</v>
      </c>
      <c r="P446" s="25">
        <f>DATE(YEAR(B446),MONTH(B446),1)</f>
        <v>45444</v>
      </c>
      <c r="Q446" s="22" t="str">
        <f>IF(N446&gt;Summary!$C$17,"Outlier","")</f>
        <v/>
      </c>
      <c r="R446" s="22" t="str">
        <f>IF(L446="","None",L446)</f>
        <v>FREESHIP</v>
      </c>
    </row>
    <row r="447" spans="1:18" x14ac:dyDescent="0.2">
      <c r="A447" s="22" t="s">
        <v>1796</v>
      </c>
      <c r="B447" s="23">
        <v>45374</v>
      </c>
      <c r="C447" s="22" t="s">
        <v>1797</v>
      </c>
      <c r="D447" s="22" t="s">
        <v>67</v>
      </c>
      <c r="E447" s="22">
        <v>1</v>
      </c>
      <c r="F447" s="24">
        <v>487.21</v>
      </c>
      <c r="G447" s="22" t="s">
        <v>1798</v>
      </c>
      <c r="H447" s="22" t="s">
        <v>75</v>
      </c>
      <c r="I447" s="22" t="s">
        <v>69</v>
      </c>
      <c r="J447" s="22" t="s">
        <v>1799</v>
      </c>
      <c r="K447" s="22">
        <v>3</v>
      </c>
      <c r="L447" s="22" t="s">
        <v>83</v>
      </c>
      <c r="M447" s="22" t="s">
        <v>90</v>
      </c>
      <c r="N447" s="24">
        <v>487.21</v>
      </c>
      <c r="O447" s="22">
        <f>YEAR(B447)</f>
        <v>2024</v>
      </c>
      <c r="P447" s="25">
        <f>DATE(YEAR(B447),MONTH(B447),1)</f>
        <v>45352</v>
      </c>
      <c r="Q447" s="22" t="str">
        <f>IF(N447&gt;Summary!$C$17,"Outlier","")</f>
        <v/>
      </c>
      <c r="R447" s="22" t="str">
        <f>IF(L447="","None",L447)</f>
        <v>SAVE10</v>
      </c>
    </row>
    <row r="448" spans="1:18" x14ac:dyDescent="0.2">
      <c r="A448" s="22" t="s">
        <v>1800</v>
      </c>
      <c r="B448" s="23">
        <v>45217</v>
      </c>
      <c r="C448" s="22" t="s">
        <v>1801</v>
      </c>
      <c r="D448" s="22" t="s">
        <v>63</v>
      </c>
      <c r="E448" s="22">
        <v>5</v>
      </c>
      <c r="F448" s="24">
        <v>509.58</v>
      </c>
      <c r="G448" s="22" t="s">
        <v>1802</v>
      </c>
      <c r="H448" s="22" t="s">
        <v>79</v>
      </c>
      <c r="I448" s="22" t="s">
        <v>69</v>
      </c>
      <c r="J448" s="22" t="s">
        <v>1803</v>
      </c>
      <c r="K448" s="22">
        <v>6</v>
      </c>
      <c r="L448" s="22" t="s">
        <v>82</v>
      </c>
      <c r="M448" s="22" t="s">
        <v>89</v>
      </c>
      <c r="N448" s="24">
        <v>2547.9</v>
      </c>
      <c r="O448" s="22">
        <f>YEAR(B448)</f>
        <v>2023</v>
      </c>
      <c r="P448" s="25">
        <f>DATE(YEAR(B448),MONTH(B448),1)</f>
        <v>45200</v>
      </c>
      <c r="Q448" s="22" t="str">
        <f>IF(N448&gt;Summary!$C$17,"Outlier","")</f>
        <v/>
      </c>
      <c r="R448" s="22" t="str">
        <f>IF(L448="","None",L448)</f>
        <v>FREESHIP</v>
      </c>
    </row>
    <row r="449" spans="1:18" x14ac:dyDescent="0.2">
      <c r="A449" s="22" t="s">
        <v>1804</v>
      </c>
      <c r="B449" s="23">
        <v>45389</v>
      </c>
      <c r="C449" s="22" t="s">
        <v>1805</v>
      </c>
      <c r="D449" s="22" t="s">
        <v>62</v>
      </c>
      <c r="E449" s="22">
        <v>2</v>
      </c>
      <c r="F449" s="24">
        <v>416.81</v>
      </c>
      <c r="G449" s="22" t="s">
        <v>1806</v>
      </c>
      <c r="H449" s="22" t="s">
        <v>75</v>
      </c>
      <c r="I449" s="22" t="s">
        <v>72</v>
      </c>
      <c r="J449" s="22" t="s">
        <v>1807</v>
      </c>
      <c r="K449" s="22">
        <v>2</v>
      </c>
      <c r="L449" s="22"/>
      <c r="M449" s="22" t="s">
        <v>87</v>
      </c>
      <c r="N449" s="24">
        <v>833.62</v>
      </c>
      <c r="O449" s="22">
        <f>YEAR(B449)</f>
        <v>2024</v>
      </c>
      <c r="P449" s="25">
        <f>DATE(YEAR(B449),MONTH(B449),1)</f>
        <v>45383</v>
      </c>
      <c r="Q449" s="22" t="str">
        <f>IF(N449&gt;Summary!$C$17,"Outlier","")</f>
        <v/>
      </c>
      <c r="R449" s="22" t="str">
        <f>IF(L449="","None",L449)</f>
        <v>None</v>
      </c>
    </row>
    <row r="450" spans="1:18" x14ac:dyDescent="0.2">
      <c r="A450" s="22" t="s">
        <v>1808</v>
      </c>
      <c r="B450" s="23">
        <v>45173</v>
      </c>
      <c r="C450" s="22" t="s">
        <v>1809</v>
      </c>
      <c r="D450" s="22" t="s">
        <v>63</v>
      </c>
      <c r="E450" s="22">
        <v>2</v>
      </c>
      <c r="F450" s="24">
        <v>160</v>
      </c>
      <c r="G450" s="22" t="s">
        <v>1810</v>
      </c>
      <c r="H450" s="22" t="s">
        <v>75</v>
      </c>
      <c r="I450" s="22" t="s">
        <v>71</v>
      </c>
      <c r="J450" s="22" t="s">
        <v>1811</v>
      </c>
      <c r="K450" s="22">
        <v>4</v>
      </c>
      <c r="L450" s="22" t="s">
        <v>83</v>
      </c>
      <c r="M450" s="22" t="s">
        <v>89</v>
      </c>
      <c r="N450" s="24">
        <v>320</v>
      </c>
      <c r="O450" s="22">
        <f>YEAR(B450)</f>
        <v>2023</v>
      </c>
      <c r="P450" s="25">
        <f>DATE(YEAR(B450),MONTH(B450),1)</f>
        <v>45170</v>
      </c>
      <c r="Q450" s="22" t="str">
        <f>IF(N450&gt;Summary!$C$17,"Outlier","")</f>
        <v/>
      </c>
      <c r="R450" s="22" t="str">
        <f>IF(L450="","None",L450)</f>
        <v>SAVE10</v>
      </c>
    </row>
    <row r="451" spans="1:18" x14ac:dyDescent="0.2">
      <c r="A451" s="22" t="s">
        <v>1812</v>
      </c>
      <c r="B451" s="23">
        <v>45530</v>
      </c>
      <c r="C451" s="22" t="s">
        <v>1813</v>
      </c>
      <c r="D451" s="22" t="s">
        <v>64</v>
      </c>
      <c r="E451" s="22">
        <v>3</v>
      </c>
      <c r="F451" s="24">
        <v>253.05</v>
      </c>
      <c r="G451" s="22" t="s">
        <v>1814</v>
      </c>
      <c r="H451" s="22" t="s">
        <v>79</v>
      </c>
      <c r="I451" s="22" t="s">
        <v>71</v>
      </c>
      <c r="J451" s="22" t="s">
        <v>1815</v>
      </c>
      <c r="K451" s="22">
        <v>3</v>
      </c>
      <c r="L451" s="22"/>
      <c r="M451" s="22" t="s">
        <v>89</v>
      </c>
      <c r="N451" s="24">
        <v>759.15</v>
      </c>
      <c r="O451" s="22">
        <f>YEAR(B451)</f>
        <v>2024</v>
      </c>
      <c r="P451" s="25">
        <f>DATE(YEAR(B451),MONTH(B451),1)</f>
        <v>45505</v>
      </c>
      <c r="Q451" s="22" t="str">
        <f>IF(N451&gt;Summary!$C$17,"Outlier","")</f>
        <v/>
      </c>
      <c r="R451" s="22" t="str">
        <f>IF(L451="","None",L451)</f>
        <v>None</v>
      </c>
    </row>
    <row r="452" spans="1:18" x14ac:dyDescent="0.2">
      <c r="A452" s="22" t="s">
        <v>1816</v>
      </c>
      <c r="B452" s="23">
        <v>45306</v>
      </c>
      <c r="C452" s="22" t="s">
        <v>1817</v>
      </c>
      <c r="D452" s="22" t="s">
        <v>65</v>
      </c>
      <c r="E452" s="22">
        <v>5</v>
      </c>
      <c r="F452" s="24">
        <v>615.1</v>
      </c>
      <c r="G452" s="22" t="s">
        <v>1818</v>
      </c>
      <c r="H452" s="22" t="s">
        <v>78</v>
      </c>
      <c r="I452" s="22" t="s">
        <v>72</v>
      </c>
      <c r="J452" s="22" t="s">
        <v>1819</v>
      </c>
      <c r="K452" s="22">
        <v>10</v>
      </c>
      <c r="L452" s="22" t="s">
        <v>84</v>
      </c>
      <c r="M452" s="22" t="s">
        <v>89</v>
      </c>
      <c r="N452" s="24">
        <v>3075.5</v>
      </c>
      <c r="O452" s="22">
        <f>YEAR(B452)</f>
        <v>2024</v>
      </c>
      <c r="P452" s="25">
        <f>DATE(YEAR(B452),MONTH(B452),1)</f>
        <v>45292</v>
      </c>
      <c r="Q452" s="22" t="str">
        <f>IF(N452&gt;Summary!$C$17,"Outlier","")</f>
        <v/>
      </c>
      <c r="R452" s="22" t="str">
        <f>IF(L452="","None",L452)</f>
        <v>WINTER15</v>
      </c>
    </row>
    <row r="453" spans="1:18" x14ac:dyDescent="0.2">
      <c r="A453" s="22" t="s">
        <v>1820</v>
      </c>
      <c r="B453" s="23">
        <v>45017</v>
      </c>
      <c r="C453" s="22" t="s">
        <v>1821</v>
      </c>
      <c r="D453" s="22" t="s">
        <v>65</v>
      </c>
      <c r="E453" s="22">
        <v>1</v>
      </c>
      <c r="F453" s="24">
        <v>183.18</v>
      </c>
      <c r="G453" s="22" t="s">
        <v>528</v>
      </c>
      <c r="H453" s="22" t="s">
        <v>77</v>
      </c>
      <c r="I453" s="22" t="s">
        <v>73</v>
      </c>
      <c r="J453" s="22" t="s">
        <v>1822</v>
      </c>
      <c r="K453" s="22">
        <v>6</v>
      </c>
      <c r="L453" s="22" t="s">
        <v>83</v>
      </c>
      <c r="M453" s="22" t="s">
        <v>86</v>
      </c>
      <c r="N453" s="24">
        <v>183.18</v>
      </c>
      <c r="O453" s="22">
        <f>YEAR(B453)</f>
        <v>2023</v>
      </c>
      <c r="P453" s="25">
        <f>DATE(YEAR(B453),MONTH(B453),1)</f>
        <v>45017</v>
      </c>
      <c r="Q453" s="22" t="str">
        <f>IF(N453&gt;Summary!$C$17,"Outlier","")</f>
        <v/>
      </c>
      <c r="R453" s="22" t="str">
        <f>IF(L453="","None",L453)</f>
        <v>SAVE10</v>
      </c>
    </row>
    <row r="454" spans="1:18" x14ac:dyDescent="0.2">
      <c r="A454" s="22" t="s">
        <v>1823</v>
      </c>
      <c r="B454" s="23">
        <v>45130</v>
      </c>
      <c r="C454" s="22" t="s">
        <v>1824</v>
      </c>
      <c r="D454" s="22" t="s">
        <v>62</v>
      </c>
      <c r="E454" s="22">
        <v>1</v>
      </c>
      <c r="F454" s="24">
        <v>75.78</v>
      </c>
      <c r="G454" s="22" t="s">
        <v>1825</v>
      </c>
      <c r="H454" s="22" t="s">
        <v>75</v>
      </c>
      <c r="I454" s="22" t="s">
        <v>71</v>
      </c>
      <c r="J454" s="22" t="s">
        <v>1826</v>
      </c>
      <c r="K454" s="22">
        <v>5</v>
      </c>
      <c r="L454" s="22" t="s">
        <v>83</v>
      </c>
      <c r="M454" s="22" t="s">
        <v>88</v>
      </c>
      <c r="N454" s="24">
        <v>75.78</v>
      </c>
      <c r="O454" s="22">
        <f>YEAR(B454)</f>
        <v>2023</v>
      </c>
      <c r="P454" s="25">
        <f>DATE(YEAR(B454),MONTH(B454),1)</f>
        <v>45108</v>
      </c>
      <c r="Q454" s="22" t="str">
        <f>IF(N454&gt;Summary!$C$17,"Outlier","")</f>
        <v/>
      </c>
      <c r="R454" s="22" t="str">
        <f>IF(L454="","None",L454)</f>
        <v>SAVE10</v>
      </c>
    </row>
    <row r="455" spans="1:18" x14ac:dyDescent="0.2">
      <c r="A455" s="22" t="s">
        <v>1827</v>
      </c>
      <c r="B455" s="23">
        <v>45779</v>
      </c>
      <c r="C455" s="22" t="s">
        <v>1828</v>
      </c>
      <c r="D455" s="22" t="s">
        <v>64</v>
      </c>
      <c r="E455" s="22">
        <v>1</v>
      </c>
      <c r="F455" s="24">
        <v>675.57</v>
      </c>
      <c r="G455" s="22" t="s">
        <v>1829</v>
      </c>
      <c r="H455" s="22" t="s">
        <v>75</v>
      </c>
      <c r="I455" s="22" t="s">
        <v>70</v>
      </c>
      <c r="J455" s="22" t="s">
        <v>1830</v>
      </c>
      <c r="K455" s="22">
        <v>1</v>
      </c>
      <c r="L455" s="22" t="s">
        <v>84</v>
      </c>
      <c r="M455" s="22" t="s">
        <v>87</v>
      </c>
      <c r="N455" s="24">
        <v>675.57</v>
      </c>
      <c r="O455" s="22">
        <f>YEAR(B455)</f>
        <v>2025</v>
      </c>
      <c r="P455" s="25">
        <f>DATE(YEAR(B455),MONTH(B455),1)</f>
        <v>45778</v>
      </c>
      <c r="Q455" s="22" t="str">
        <f>IF(N455&gt;Summary!$C$17,"Outlier","")</f>
        <v/>
      </c>
      <c r="R455" s="22" t="str">
        <f>IF(L455="","None",L455)</f>
        <v>WINTER15</v>
      </c>
    </row>
    <row r="456" spans="1:18" x14ac:dyDescent="0.2">
      <c r="A456" s="22" t="s">
        <v>1831</v>
      </c>
      <c r="B456" s="23">
        <v>45623</v>
      </c>
      <c r="C456" s="22" t="s">
        <v>1832</v>
      </c>
      <c r="D456" s="22" t="s">
        <v>63</v>
      </c>
      <c r="E456" s="22">
        <v>1</v>
      </c>
      <c r="F456" s="24">
        <v>109.29</v>
      </c>
      <c r="G456" s="22" t="s">
        <v>1833</v>
      </c>
      <c r="H456" s="22" t="s">
        <v>77</v>
      </c>
      <c r="I456" s="22" t="s">
        <v>73</v>
      </c>
      <c r="J456" s="22" t="s">
        <v>1834</v>
      </c>
      <c r="K456" s="22">
        <v>5</v>
      </c>
      <c r="L456" s="22" t="s">
        <v>82</v>
      </c>
      <c r="M456" s="22" t="s">
        <v>88</v>
      </c>
      <c r="N456" s="24">
        <v>109.29</v>
      </c>
      <c r="O456" s="22">
        <f>YEAR(B456)</f>
        <v>2024</v>
      </c>
      <c r="P456" s="25">
        <f>DATE(YEAR(B456),MONTH(B456),1)</f>
        <v>45597</v>
      </c>
      <c r="Q456" s="22" t="str">
        <f>IF(N456&gt;Summary!$C$17,"Outlier","")</f>
        <v/>
      </c>
      <c r="R456" s="22" t="str">
        <f>IF(L456="","None",L456)</f>
        <v>FREESHIP</v>
      </c>
    </row>
    <row r="457" spans="1:18" x14ac:dyDescent="0.2">
      <c r="A457" s="22" t="s">
        <v>1835</v>
      </c>
      <c r="B457" s="23">
        <v>45377</v>
      </c>
      <c r="C457" s="22" t="s">
        <v>1836</v>
      </c>
      <c r="D457" s="22" t="s">
        <v>67</v>
      </c>
      <c r="E457" s="22">
        <v>1</v>
      </c>
      <c r="F457" s="24">
        <v>639.83000000000004</v>
      </c>
      <c r="G457" s="22" t="s">
        <v>1837</v>
      </c>
      <c r="H457" s="22" t="s">
        <v>77</v>
      </c>
      <c r="I457" s="22" t="s">
        <v>71</v>
      </c>
      <c r="J457" s="22" t="s">
        <v>1838</v>
      </c>
      <c r="K457" s="22">
        <v>2</v>
      </c>
      <c r="L457" s="22" t="s">
        <v>83</v>
      </c>
      <c r="M457" s="22" t="s">
        <v>90</v>
      </c>
      <c r="N457" s="24">
        <v>639.83000000000004</v>
      </c>
      <c r="O457" s="22">
        <f>YEAR(B457)</f>
        <v>2024</v>
      </c>
      <c r="P457" s="25">
        <f>DATE(YEAR(B457),MONTH(B457),1)</f>
        <v>45352</v>
      </c>
      <c r="Q457" s="22" t="str">
        <f>IF(N457&gt;Summary!$C$17,"Outlier","")</f>
        <v/>
      </c>
      <c r="R457" s="22" t="str">
        <f>IF(L457="","None",L457)</f>
        <v>SAVE10</v>
      </c>
    </row>
    <row r="458" spans="1:18" x14ac:dyDescent="0.2">
      <c r="A458" s="22" t="s">
        <v>1839</v>
      </c>
      <c r="B458" s="23">
        <v>45103</v>
      </c>
      <c r="C458" s="22" t="s">
        <v>1840</v>
      </c>
      <c r="D458" s="22" t="s">
        <v>66</v>
      </c>
      <c r="E458" s="22">
        <v>5</v>
      </c>
      <c r="F458" s="24">
        <v>62.81</v>
      </c>
      <c r="G458" s="22" t="s">
        <v>1439</v>
      </c>
      <c r="H458" s="22" t="s">
        <v>76</v>
      </c>
      <c r="I458" s="22" t="s">
        <v>70</v>
      </c>
      <c r="J458" s="22" t="s">
        <v>1841</v>
      </c>
      <c r="K458" s="22">
        <v>9</v>
      </c>
      <c r="L458" s="22" t="s">
        <v>83</v>
      </c>
      <c r="M458" s="22" t="s">
        <v>87</v>
      </c>
      <c r="N458" s="24">
        <v>314.05</v>
      </c>
      <c r="O458" s="22">
        <f>YEAR(B458)</f>
        <v>2023</v>
      </c>
      <c r="P458" s="25">
        <f>DATE(YEAR(B458),MONTH(B458),1)</f>
        <v>45078</v>
      </c>
      <c r="Q458" s="22" t="str">
        <f>IF(N458&gt;Summary!$C$17,"Outlier","")</f>
        <v/>
      </c>
      <c r="R458" s="22" t="str">
        <f>IF(L458="","None",L458)</f>
        <v>SAVE10</v>
      </c>
    </row>
    <row r="459" spans="1:18" x14ac:dyDescent="0.2">
      <c r="A459" s="22" t="s">
        <v>1842</v>
      </c>
      <c r="B459" s="23">
        <v>45802</v>
      </c>
      <c r="C459" s="22" t="s">
        <v>1843</v>
      </c>
      <c r="D459" s="22" t="s">
        <v>66</v>
      </c>
      <c r="E459" s="22">
        <v>4</v>
      </c>
      <c r="F459" s="24">
        <v>615.83000000000004</v>
      </c>
      <c r="G459" s="22" t="s">
        <v>1844</v>
      </c>
      <c r="H459" s="22" t="s">
        <v>79</v>
      </c>
      <c r="I459" s="22" t="s">
        <v>72</v>
      </c>
      <c r="J459" s="22" t="s">
        <v>1845</v>
      </c>
      <c r="K459" s="22">
        <v>4</v>
      </c>
      <c r="L459" s="22" t="s">
        <v>84</v>
      </c>
      <c r="M459" s="22" t="s">
        <v>89</v>
      </c>
      <c r="N459" s="24">
        <v>2463.3200000000002</v>
      </c>
      <c r="O459" s="22">
        <f>YEAR(B459)</f>
        <v>2025</v>
      </c>
      <c r="P459" s="25">
        <f>DATE(YEAR(B459),MONTH(B459),1)</f>
        <v>45778</v>
      </c>
      <c r="Q459" s="22" t="str">
        <f>IF(N459&gt;Summary!$C$17,"Outlier","")</f>
        <v/>
      </c>
      <c r="R459" s="22" t="str">
        <f>IF(L459="","None",L459)</f>
        <v>WINTER15</v>
      </c>
    </row>
    <row r="460" spans="1:18" x14ac:dyDescent="0.2">
      <c r="A460" s="22" t="s">
        <v>1846</v>
      </c>
      <c r="B460" s="23">
        <v>45475</v>
      </c>
      <c r="C460" s="22" t="s">
        <v>1847</v>
      </c>
      <c r="D460" s="22" t="s">
        <v>65</v>
      </c>
      <c r="E460" s="22">
        <v>4</v>
      </c>
      <c r="F460" s="24">
        <v>510.58</v>
      </c>
      <c r="G460" s="22" t="s">
        <v>477</v>
      </c>
      <c r="H460" s="22" t="s">
        <v>76</v>
      </c>
      <c r="I460" s="22" t="s">
        <v>72</v>
      </c>
      <c r="J460" s="22" t="s">
        <v>1848</v>
      </c>
      <c r="K460" s="22">
        <v>7</v>
      </c>
      <c r="L460" s="22" t="s">
        <v>84</v>
      </c>
      <c r="M460" s="22" t="s">
        <v>86</v>
      </c>
      <c r="N460" s="24">
        <v>2042.32</v>
      </c>
      <c r="O460" s="22">
        <f>YEAR(B460)</f>
        <v>2024</v>
      </c>
      <c r="P460" s="25">
        <f>DATE(YEAR(B460),MONTH(B460),1)</f>
        <v>45474</v>
      </c>
      <c r="Q460" s="22" t="str">
        <f>IF(N460&gt;Summary!$C$17,"Outlier","")</f>
        <v/>
      </c>
      <c r="R460" s="22" t="str">
        <f>IF(L460="","None",L460)</f>
        <v>WINTER15</v>
      </c>
    </row>
    <row r="461" spans="1:18" x14ac:dyDescent="0.2">
      <c r="A461" s="22" t="s">
        <v>1849</v>
      </c>
      <c r="B461" s="23">
        <v>45497</v>
      </c>
      <c r="C461" s="22" t="s">
        <v>1850</v>
      </c>
      <c r="D461" s="22" t="s">
        <v>66</v>
      </c>
      <c r="E461" s="22">
        <v>1</v>
      </c>
      <c r="F461" s="24">
        <v>334.39</v>
      </c>
      <c r="G461" s="22" t="s">
        <v>1745</v>
      </c>
      <c r="H461" s="22" t="s">
        <v>76</v>
      </c>
      <c r="I461" s="22" t="s">
        <v>72</v>
      </c>
      <c r="J461" s="22" t="s">
        <v>1851</v>
      </c>
      <c r="K461" s="22">
        <v>2</v>
      </c>
      <c r="L461" s="22"/>
      <c r="M461" s="22" t="s">
        <v>89</v>
      </c>
      <c r="N461" s="24">
        <v>334.39</v>
      </c>
      <c r="O461" s="22">
        <f>YEAR(B461)</f>
        <v>2024</v>
      </c>
      <c r="P461" s="25">
        <f>DATE(YEAR(B461),MONTH(B461),1)</f>
        <v>45474</v>
      </c>
      <c r="Q461" s="22" t="str">
        <f>IF(N461&gt;Summary!$C$17,"Outlier","")</f>
        <v/>
      </c>
      <c r="R461" s="22" t="str">
        <f>IF(L461="","None",L461)</f>
        <v>None</v>
      </c>
    </row>
    <row r="462" spans="1:18" x14ac:dyDescent="0.2">
      <c r="A462" s="22" t="s">
        <v>1852</v>
      </c>
      <c r="B462" s="23">
        <v>45571</v>
      </c>
      <c r="C462" s="22" t="s">
        <v>1853</v>
      </c>
      <c r="D462" s="22" t="s">
        <v>63</v>
      </c>
      <c r="E462" s="22">
        <v>1</v>
      </c>
      <c r="F462" s="24">
        <v>144.25</v>
      </c>
      <c r="G462" s="22" t="s">
        <v>1854</v>
      </c>
      <c r="H462" s="22" t="s">
        <v>75</v>
      </c>
      <c r="I462" s="22" t="s">
        <v>72</v>
      </c>
      <c r="J462" s="22" t="s">
        <v>1855</v>
      </c>
      <c r="K462" s="22">
        <v>2</v>
      </c>
      <c r="L462" s="22" t="s">
        <v>84</v>
      </c>
      <c r="M462" s="22" t="s">
        <v>90</v>
      </c>
      <c r="N462" s="24">
        <v>144.25</v>
      </c>
      <c r="O462" s="22">
        <f>YEAR(B462)</f>
        <v>2024</v>
      </c>
      <c r="P462" s="25">
        <f>DATE(YEAR(B462),MONTH(B462),1)</f>
        <v>45566</v>
      </c>
      <c r="Q462" s="22" t="str">
        <f>IF(N462&gt;Summary!$C$17,"Outlier","")</f>
        <v/>
      </c>
      <c r="R462" s="22" t="str">
        <f>IF(L462="","None",L462)</f>
        <v>WINTER15</v>
      </c>
    </row>
    <row r="463" spans="1:18" x14ac:dyDescent="0.2">
      <c r="A463" s="22" t="s">
        <v>1856</v>
      </c>
      <c r="B463" s="23">
        <v>45451</v>
      </c>
      <c r="C463" s="22" t="s">
        <v>1857</v>
      </c>
      <c r="D463" s="22" t="s">
        <v>64</v>
      </c>
      <c r="E463" s="22">
        <v>1</v>
      </c>
      <c r="F463" s="24">
        <v>401.82</v>
      </c>
      <c r="G463" s="22" t="s">
        <v>1049</v>
      </c>
      <c r="H463" s="22" t="s">
        <v>76</v>
      </c>
      <c r="I463" s="22" t="s">
        <v>70</v>
      </c>
      <c r="J463" s="22" t="s">
        <v>1858</v>
      </c>
      <c r="K463" s="22">
        <v>5</v>
      </c>
      <c r="L463" s="22" t="s">
        <v>82</v>
      </c>
      <c r="M463" s="22" t="s">
        <v>88</v>
      </c>
      <c r="N463" s="24">
        <v>401.82</v>
      </c>
      <c r="O463" s="22">
        <f>YEAR(B463)</f>
        <v>2024</v>
      </c>
      <c r="P463" s="25">
        <f>DATE(YEAR(B463),MONTH(B463),1)</f>
        <v>45444</v>
      </c>
      <c r="Q463" s="22" t="str">
        <f>IF(N463&gt;Summary!$C$17,"Outlier","")</f>
        <v/>
      </c>
      <c r="R463" s="22" t="str">
        <f>IF(L463="","None",L463)</f>
        <v>FREESHIP</v>
      </c>
    </row>
    <row r="464" spans="1:18" x14ac:dyDescent="0.2">
      <c r="A464" s="22" t="s">
        <v>1859</v>
      </c>
      <c r="B464" s="23">
        <v>45747</v>
      </c>
      <c r="C464" s="22" t="s">
        <v>1860</v>
      </c>
      <c r="D464" s="22" t="s">
        <v>67</v>
      </c>
      <c r="E464" s="22">
        <v>1</v>
      </c>
      <c r="F464" s="24">
        <v>252.68</v>
      </c>
      <c r="G464" s="22" t="s">
        <v>1861</v>
      </c>
      <c r="H464" s="22" t="s">
        <v>79</v>
      </c>
      <c r="I464" s="22" t="s">
        <v>73</v>
      </c>
      <c r="J464" s="22" t="s">
        <v>1862</v>
      </c>
      <c r="K464" s="22">
        <v>1</v>
      </c>
      <c r="L464" s="22"/>
      <c r="M464" s="22" t="s">
        <v>90</v>
      </c>
      <c r="N464" s="24">
        <v>252.68</v>
      </c>
      <c r="O464" s="22">
        <f>YEAR(B464)</f>
        <v>2025</v>
      </c>
      <c r="P464" s="25">
        <f>DATE(YEAR(B464),MONTH(B464),1)</f>
        <v>45717</v>
      </c>
      <c r="Q464" s="22" t="str">
        <f>IF(N464&gt;Summary!$C$17,"Outlier","")</f>
        <v/>
      </c>
      <c r="R464" s="22" t="str">
        <f>IF(L464="","None",L464)</f>
        <v>None</v>
      </c>
    </row>
    <row r="465" spans="1:18" x14ac:dyDescent="0.2">
      <c r="A465" s="22" t="s">
        <v>1863</v>
      </c>
      <c r="B465" s="23">
        <v>45072</v>
      </c>
      <c r="C465" s="22" t="s">
        <v>1864</v>
      </c>
      <c r="D465" s="22" t="s">
        <v>63</v>
      </c>
      <c r="E465" s="22">
        <v>5</v>
      </c>
      <c r="F465" s="24">
        <v>662.78</v>
      </c>
      <c r="G465" s="22" t="s">
        <v>1865</v>
      </c>
      <c r="H465" s="22" t="s">
        <v>77</v>
      </c>
      <c r="I465" s="22" t="s">
        <v>70</v>
      </c>
      <c r="J465" s="22" t="s">
        <v>1866</v>
      </c>
      <c r="K465" s="22">
        <v>9</v>
      </c>
      <c r="L465" s="22" t="s">
        <v>83</v>
      </c>
      <c r="M465" s="22" t="s">
        <v>89</v>
      </c>
      <c r="N465" s="24">
        <v>3313.9</v>
      </c>
      <c r="O465" s="22">
        <f>YEAR(B465)</f>
        <v>2023</v>
      </c>
      <c r="P465" s="25">
        <f>DATE(YEAR(B465),MONTH(B465),1)</f>
        <v>45047</v>
      </c>
      <c r="Q465" s="22" t="str">
        <f>IF(N465&gt;Summary!$C$17,"Outlier","")</f>
        <v/>
      </c>
      <c r="R465" s="22" t="str">
        <f>IF(L465="","None",L465)</f>
        <v>SAVE10</v>
      </c>
    </row>
    <row r="466" spans="1:18" x14ac:dyDescent="0.2">
      <c r="A466" s="22" t="s">
        <v>1867</v>
      </c>
      <c r="B466" s="23">
        <v>44999</v>
      </c>
      <c r="C466" s="22" t="s">
        <v>1868</v>
      </c>
      <c r="D466" s="22" t="s">
        <v>64</v>
      </c>
      <c r="E466" s="22">
        <v>4</v>
      </c>
      <c r="F466" s="24">
        <v>434.42</v>
      </c>
      <c r="G466" s="22" t="s">
        <v>1869</v>
      </c>
      <c r="H466" s="22" t="s">
        <v>79</v>
      </c>
      <c r="I466" s="22" t="s">
        <v>73</v>
      </c>
      <c r="J466" s="22" t="s">
        <v>1870</v>
      </c>
      <c r="K466" s="22">
        <v>6</v>
      </c>
      <c r="L466" s="22" t="s">
        <v>82</v>
      </c>
      <c r="M466" s="22" t="s">
        <v>88</v>
      </c>
      <c r="N466" s="24">
        <v>1737.68</v>
      </c>
      <c r="O466" s="22">
        <f>YEAR(B466)</f>
        <v>2023</v>
      </c>
      <c r="P466" s="25">
        <f>DATE(YEAR(B466),MONTH(B466),1)</f>
        <v>44986</v>
      </c>
      <c r="Q466" s="22" t="str">
        <f>IF(N466&gt;Summary!$C$17,"Outlier","")</f>
        <v/>
      </c>
      <c r="R466" s="22" t="str">
        <f>IF(L466="","None",L466)</f>
        <v>FREESHIP</v>
      </c>
    </row>
    <row r="467" spans="1:18" x14ac:dyDescent="0.2">
      <c r="A467" s="22" t="s">
        <v>1871</v>
      </c>
      <c r="B467" s="23">
        <v>45348</v>
      </c>
      <c r="C467" s="22" t="s">
        <v>1872</v>
      </c>
      <c r="D467" s="22" t="s">
        <v>62</v>
      </c>
      <c r="E467" s="22">
        <v>5</v>
      </c>
      <c r="F467" s="24">
        <v>513.49</v>
      </c>
      <c r="G467" s="22" t="s">
        <v>1873</v>
      </c>
      <c r="H467" s="22" t="s">
        <v>78</v>
      </c>
      <c r="I467" s="22" t="s">
        <v>73</v>
      </c>
      <c r="J467" s="22" t="s">
        <v>1874</v>
      </c>
      <c r="K467" s="22">
        <v>8</v>
      </c>
      <c r="L467" s="22"/>
      <c r="M467" s="22" t="s">
        <v>88</v>
      </c>
      <c r="N467" s="24">
        <v>2567.4499999999998</v>
      </c>
      <c r="O467" s="22">
        <f>YEAR(B467)</f>
        <v>2024</v>
      </c>
      <c r="P467" s="25">
        <f>DATE(YEAR(B467),MONTH(B467),1)</f>
        <v>45323</v>
      </c>
      <c r="Q467" s="22" t="str">
        <f>IF(N467&gt;Summary!$C$17,"Outlier","")</f>
        <v/>
      </c>
      <c r="R467" s="22" t="str">
        <f>IF(L467="","None",L467)</f>
        <v>None</v>
      </c>
    </row>
    <row r="468" spans="1:18" x14ac:dyDescent="0.2">
      <c r="A468" s="22" t="s">
        <v>1875</v>
      </c>
      <c r="B468" s="23">
        <v>45125</v>
      </c>
      <c r="C468" s="22" t="s">
        <v>1876</v>
      </c>
      <c r="D468" s="22" t="s">
        <v>67</v>
      </c>
      <c r="E468" s="22">
        <v>1</v>
      </c>
      <c r="F468" s="24">
        <v>432.47</v>
      </c>
      <c r="G468" s="22" t="s">
        <v>239</v>
      </c>
      <c r="H468" s="22" t="s">
        <v>75</v>
      </c>
      <c r="I468" s="22" t="s">
        <v>69</v>
      </c>
      <c r="J468" s="22" t="s">
        <v>1877</v>
      </c>
      <c r="K468" s="22">
        <v>4</v>
      </c>
      <c r="L468" s="22" t="s">
        <v>82</v>
      </c>
      <c r="M468" s="22" t="s">
        <v>90</v>
      </c>
      <c r="N468" s="24">
        <v>432.47</v>
      </c>
      <c r="O468" s="22">
        <f>YEAR(B468)</f>
        <v>2023</v>
      </c>
      <c r="P468" s="25">
        <f>DATE(YEAR(B468),MONTH(B468),1)</f>
        <v>45108</v>
      </c>
      <c r="Q468" s="22" t="str">
        <f>IF(N468&gt;Summary!$C$17,"Outlier","")</f>
        <v/>
      </c>
      <c r="R468" s="22" t="str">
        <f>IF(L468="","None",L468)</f>
        <v>FREESHIP</v>
      </c>
    </row>
    <row r="469" spans="1:18" x14ac:dyDescent="0.2">
      <c r="A469" s="22" t="s">
        <v>1878</v>
      </c>
      <c r="B469" s="23">
        <v>45534</v>
      </c>
      <c r="C469" s="22" t="s">
        <v>1879</v>
      </c>
      <c r="D469" s="22" t="s">
        <v>66</v>
      </c>
      <c r="E469" s="22">
        <v>1</v>
      </c>
      <c r="F469" s="24">
        <v>45.94</v>
      </c>
      <c r="G469" s="22" t="s">
        <v>840</v>
      </c>
      <c r="H469" s="22" t="s">
        <v>75</v>
      </c>
      <c r="I469" s="22" t="s">
        <v>73</v>
      </c>
      <c r="J469" s="22" t="s">
        <v>1880</v>
      </c>
      <c r="K469" s="22">
        <v>2</v>
      </c>
      <c r="L469" s="22" t="s">
        <v>84</v>
      </c>
      <c r="M469" s="22" t="s">
        <v>86</v>
      </c>
      <c r="N469" s="24">
        <v>45.94</v>
      </c>
      <c r="O469" s="22">
        <f>YEAR(B469)</f>
        <v>2024</v>
      </c>
      <c r="P469" s="25">
        <f>DATE(YEAR(B469),MONTH(B469),1)</f>
        <v>45505</v>
      </c>
      <c r="Q469" s="22" t="str">
        <f>IF(N469&gt;Summary!$C$17,"Outlier","")</f>
        <v/>
      </c>
      <c r="R469" s="22" t="str">
        <f>IF(L469="","None",L469)</f>
        <v>WINTER15</v>
      </c>
    </row>
    <row r="470" spans="1:18" x14ac:dyDescent="0.2">
      <c r="A470" s="22" t="s">
        <v>1881</v>
      </c>
      <c r="B470" s="23">
        <v>45829</v>
      </c>
      <c r="C470" s="22" t="s">
        <v>1882</v>
      </c>
      <c r="D470" s="22" t="s">
        <v>67</v>
      </c>
      <c r="E470" s="22">
        <v>1</v>
      </c>
      <c r="F470" s="24">
        <v>418.36</v>
      </c>
      <c r="G470" s="22" t="s">
        <v>1883</v>
      </c>
      <c r="H470" s="22" t="s">
        <v>76</v>
      </c>
      <c r="I470" s="22" t="s">
        <v>69</v>
      </c>
      <c r="J470" s="22" t="s">
        <v>1884</v>
      </c>
      <c r="K470" s="22">
        <v>5</v>
      </c>
      <c r="L470" s="22" t="s">
        <v>82</v>
      </c>
      <c r="M470" s="22" t="s">
        <v>86</v>
      </c>
      <c r="N470" s="24">
        <v>418.36</v>
      </c>
      <c r="O470" s="22">
        <f>YEAR(B470)</f>
        <v>2025</v>
      </c>
      <c r="P470" s="25">
        <f>DATE(YEAR(B470),MONTH(B470),1)</f>
        <v>45809</v>
      </c>
      <c r="Q470" s="22" t="str">
        <f>IF(N470&gt;Summary!$C$17,"Outlier","")</f>
        <v/>
      </c>
      <c r="R470" s="22" t="str">
        <f>IF(L470="","None",L470)</f>
        <v>FREESHIP</v>
      </c>
    </row>
    <row r="471" spans="1:18" x14ac:dyDescent="0.2">
      <c r="A471" s="22" t="s">
        <v>98</v>
      </c>
      <c r="B471" s="23">
        <v>45256</v>
      </c>
      <c r="C471" s="22" t="s">
        <v>1885</v>
      </c>
      <c r="D471" s="22" t="s">
        <v>61</v>
      </c>
      <c r="E471" s="22">
        <v>5</v>
      </c>
      <c r="F471" s="24">
        <v>676.98</v>
      </c>
      <c r="G471" s="22" t="s">
        <v>695</v>
      </c>
      <c r="H471" s="22" t="s">
        <v>75</v>
      </c>
      <c r="I471" s="22" t="s">
        <v>73</v>
      </c>
      <c r="J471" s="22" t="s">
        <v>1886</v>
      </c>
      <c r="K471" s="22">
        <v>5</v>
      </c>
      <c r="L471" s="22"/>
      <c r="M471" s="22" t="s">
        <v>87</v>
      </c>
      <c r="N471" s="24">
        <v>3384.9</v>
      </c>
      <c r="O471" s="22">
        <f>YEAR(B471)</f>
        <v>2023</v>
      </c>
      <c r="P471" s="25">
        <f>DATE(YEAR(B471),MONTH(B471),1)</f>
        <v>45231</v>
      </c>
      <c r="Q471" s="22" t="str">
        <f>IF(N471&gt;Summary!$C$17,"Outlier","")</f>
        <v>Outlier</v>
      </c>
      <c r="R471" s="22" t="str">
        <f>IF(L471="","None",L471)</f>
        <v>None</v>
      </c>
    </row>
    <row r="472" spans="1:18" x14ac:dyDescent="0.2">
      <c r="A472" s="22" t="s">
        <v>1887</v>
      </c>
      <c r="B472" s="23">
        <v>45198</v>
      </c>
      <c r="C472" s="22" t="s">
        <v>1888</v>
      </c>
      <c r="D472" s="22" t="s">
        <v>64</v>
      </c>
      <c r="E472" s="22">
        <v>4</v>
      </c>
      <c r="F472" s="24">
        <v>263.62</v>
      </c>
      <c r="G472" s="22" t="s">
        <v>1889</v>
      </c>
      <c r="H472" s="22" t="s">
        <v>75</v>
      </c>
      <c r="I472" s="22" t="s">
        <v>70</v>
      </c>
      <c r="J472" s="22" t="s">
        <v>1890</v>
      </c>
      <c r="K472" s="22">
        <v>5</v>
      </c>
      <c r="L472" s="22" t="s">
        <v>83</v>
      </c>
      <c r="M472" s="22" t="s">
        <v>86</v>
      </c>
      <c r="N472" s="24">
        <v>1054.48</v>
      </c>
      <c r="O472" s="22">
        <f>YEAR(B472)</f>
        <v>2023</v>
      </c>
      <c r="P472" s="25">
        <f>DATE(YEAR(B472),MONTH(B472),1)</f>
        <v>45170</v>
      </c>
      <c r="Q472" s="22" t="str">
        <f>IF(N472&gt;Summary!$C$17,"Outlier","")</f>
        <v/>
      </c>
      <c r="R472" s="22" t="str">
        <f>IF(L472="","None",L472)</f>
        <v>SAVE10</v>
      </c>
    </row>
    <row r="473" spans="1:18" x14ac:dyDescent="0.2">
      <c r="A473" s="22" t="s">
        <v>1891</v>
      </c>
      <c r="B473" s="23">
        <v>45766</v>
      </c>
      <c r="C473" s="22" t="s">
        <v>1892</v>
      </c>
      <c r="D473" s="22" t="s">
        <v>66</v>
      </c>
      <c r="E473" s="22">
        <v>5</v>
      </c>
      <c r="F473" s="24">
        <v>551.27</v>
      </c>
      <c r="G473" s="22" t="s">
        <v>1893</v>
      </c>
      <c r="H473" s="22" t="s">
        <v>79</v>
      </c>
      <c r="I473" s="22" t="s">
        <v>73</v>
      </c>
      <c r="J473" s="22" t="s">
        <v>1894</v>
      </c>
      <c r="K473" s="22">
        <v>7</v>
      </c>
      <c r="L473" s="22" t="s">
        <v>82</v>
      </c>
      <c r="M473" s="22" t="s">
        <v>90</v>
      </c>
      <c r="N473" s="24">
        <v>2756.35</v>
      </c>
      <c r="O473" s="22">
        <f>YEAR(B473)</f>
        <v>2025</v>
      </c>
      <c r="P473" s="25">
        <f>DATE(YEAR(B473),MONTH(B473),1)</f>
        <v>45748</v>
      </c>
      <c r="Q473" s="22" t="str">
        <f>IF(N473&gt;Summary!$C$17,"Outlier","")</f>
        <v/>
      </c>
      <c r="R473" s="22" t="str">
        <f>IF(L473="","None",L473)</f>
        <v>FREESHIP</v>
      </c>
    </row>
    <row r="474" spans="1:18" x14ac:dyDescent="0.2">
      <c r="A474" s="22" t="s">
        <v>1895</v>
      </c>
      <c r="B474" s="23">
        <v>44932</v>
      </c>
      <c r="C474" s="22" t="s">
        <v>1896</v>
      </c>
      <c r="D474" s="22" t="s">
        <v>61</v>
      </c>
      <c r="E474" s="22">
        <v>3</v>
      </c>
      <c r="F474" s="24">
        <v>508.12</v>
      </c>
      <c r="G474" s="22" t="s">
        <v>1897</v>
      </c>
      <c r="H474" s="22" t="s">
        <v>76</v>
      </c>
      <c r="I474" s="22" t="s">
        <v>73</v>
      </c>
      <c r="J474" s="22" t="s">
        <v>1898</v>
      </c>
      <c r="K474" s="22">
        <v>8</v>
      </c>
      <c r="L474" s="22" t="s">
        <v>82</v>
      </c>
      <c r="M474" s="22" t="s">
        <v>90</v>
      </c>
      <c r="N474" s="24">
        <v>1524.36</v>
      </c>
      <c r="O474" s="22">
        <f>YEAR(B474)</f>
        <v>2023</v>
      </c>
      <c r="P474" s="25">
        <f>DATE(YEAR(B474),MONTH(B474),1)</f>
        <v>44927</v>
      </c>
      <c r="Q474" s="22" t="str">
        <f>IF(N474&gt;Summary!$C$17,"Outlier","")</f>
        <v/>
      </c>
      <c r="R474" s="22" t="str">
        <f>IF(L474="","None",L474)</f>
        <v>FREESHIP</v>
      </c>
    </row>
    <row r="475" spans="1:18" x14ac:dyDescent="0.2">
      <c r="A475" s="22" t="s">
        <v>1899</v>
      </c>
      <c r="B475" s="23">
        <v>45713</v>
      </c>
      <c r="C475" s="22" t="s">
        <v>1900</v>
      </c>
      <c r="D475" s="22" t="s">
        <v>61</v>
      </c>
      <c r="E475" s="22">
        <v>2</v>
      </c>
      <c r="F475" s="24">
        <v>14.93</v>
      </c>
      <c r="G475" s="22" t="s">
        <v>1901</v>
      </c>
      <c r="H475" s="22" t="s">
        <v>79</v>
      </c>
      <c r="I475" s="22" t="s">
        <v>70</v>
      </c>
      <c r="J475" s="22" t="s">
        <v>1902</v>
      </c>
      <c r="K475" s="22">
        <v>4</v>
      </c>
      <c r="L475" s="22"/>
      <c r="M475" s="22" t="s">
        <v>87</v>
      </c>
      <c r="N475" s="24">
        <v>29.86</v>
      </c>
      <c r="O475" s="22">
        <f>YEAR(B475)</f>
        <v>2025</v>
      </c>
      <c r="P475" s="25">
        <f>DATE(YEAR(B475),MONTH(B475),1)</f>
        <v>45689</v>
      </c>
      <c r="Q475" s="22" t="str">
        <f>IF(N475&gt;Summary!$C$17,"Outlier","")</f>
        <v/>
      </c>
      <c r="R475" s="22" t="str">
        <f>IF(L475="","None",L475)</f>
        <v>None</v>
      </c>
    </row>
    <row r="476" spans="1:18" x14ac:dyDescent="0.2">
      <c r="A476" s="22" t="s">
        <v>1903</v>
      </c>
      <c r="B476" s="23">
        <v>45245</v>
      </c>
      <c r="C476" s="22" t="s">
        <v>1904</v>
      </c>
      <c r="D476" s="22" t="s">
        <v>62</v>
      </c>
      <c r="E476" s="22">
        <v>3</v>
      </c>
      <c r="F476" s="24">
        <v>229.34</v>
      </c>
      <c r="G476" s="22" t="s">
        <v>1415</v>
      </c>
      <c r="H476" s="22" t="s">
        <v>76</v>
      </c>
      <c r="I476" s="22" t="s">
        <v>70</v>
      </c>
      <c r="J476" s="22" t="s">
        <v>1905</v>
      </c>
      <c r="K476" s="22">
        <v>6</v>
      </c>
      <c r="L476" s="22" t="s">
        <v>83</v>
      </c>
      <c r="M476" s="22" t="s">
        <v>90</v>
      </c>
      <c r="N476" s="24">
        <v>688.02</v>
      </c>
      <c r="O476" s="22">
        <f>YEAR(B476)</f>
        <v>2023</v>
      </c>
      <c r="P476" s="25">
        <f>DATE(YEAR(B476),MONTH(B476),1)</f>
        <v>45231</v>
      </c>
      <c r="Q476" s="22" t="str">
        <f>IF(N476&gt;Summary!$C$17,"Outlier","")</f>
        <v/>
      </c>
      <c r="R476" s="22" t="str">
        <f>IF(L476="","None",L476)</f>
        <v>SAVE10</v>
      </c>
    </row>
    <row r="477" spans="1:18" x14ac:dyDescent="0.2">
      <c r="A477" s="22" t="s">
        <v>1906</v>
      </c>
      <c r="B477" s="23">
        <v>45766</v>
      </c>
      <c r="C477" s="22" t="s">
        <v>1907</v>
      </c>
      <c r="D477" s="22" t="s">
        <v>64</v>
      </c>
      <c r="E477" s="22">
        <v>2</v>
      </c>
      <c r="F477" s="24">
        <v>438.62</v>
      </c>
      <c r="G477" s="22" t="s">
        <v>1908</v>
      </c>
      <c r="H477" s="22" t="s">
        <v>75</v>
      </c>
      <c r="I477" s="22" t="s">
        <v>73</v>
      </c>
      <c r="J477" s="22" t="s">
        <v>1909</v>
      </c>
      <c r="K477" s="22">
        <v>3</v>
      </c>
      <c r="L477" s="22" t="s">
        <v>83</v>
      </c>
      <c r="M477" s="22" t="s">
        <v>87</v>
      </c>
      <c r="N477" s="24">
        <v>877.24</v>
      </c>
      <c r="O477" s="22">
        <f>YEAR(B477)</f>
        <v>2025</v>
      </c>
      <c r="P477" s="25">
        <f>DATE(YEAR(B477),MONTH(B477),1)</f>
        <v>45748</v>
      </c>
      <c r="Q477" s="22" t="str">
        <f>IF(N477&gt;Summary!$C$17,"Outlier","")</f>
        <v/>
      </c>
      <c r="R477" s="22" t="str">
        <f>IF(L477="","None",L477)</f>
        <v>SAVE10</v>
      </c>
    </row>
    <row r="478" spans="1:18" x14ac:dyDescent="0.2">
      <c r="A478" s="22" t="s">
        <v>1910</v>
      </c>
      <c r="B478" s="23">
        <v>45306</v>
      </c>
      <c r="C478" s="22" t="s">
        <v>1911</v>
      </c>
      <c r="D478" s="22" t="s">
        <v>67</v>
      </c>
      <c r="E478" s="22">
        <v>2</v>
      </c>
      <c r="F478" s="24">
        <v>513.59</v>
      </c>
      <c r="G478" s="22" t="s">
        <v>1912</v>
      </c>
      <c r="H478" s="22" t="s">
        <v>79</v>
      </c>
      <c r="I478" s="22" t="s">
        <v>72</v>
      </c>
      <c r="J478" s="22" t="s">
        <v>1913</v>
      </c>
      <c r="K478" s="22">
        <v>4</v>
      </c>
      <c r="L478" s="22" t="s">
        <v>82</v>
      </c>
      <c r="M478" s="22" t="s">
        <v>90</v>
      </c>
      <c r="N478" s="24">
        <v>1027.18</v>
      </c>
      <c r="O478" s="22">
        <f>YEAR(B478)</f>
        <v>2024</v>
      </c>
      <c r="P478" s="25">
        <f>DATE(YEAR(B478),MONTH(B478),1)</f>
        <v>45292</v>
      </c>
      <c r="Q478" s="22" t="str">
        <f>IF(N478&gt;Summary!$C$17,"Outlier","")</f>
        <v/>
      </c>
      <c r="R478" s="22" t="str">
        <f>IF(L478="","None",L478)</f>
        <v>FREESHIP</v>
      </c>
    </row>
    <row r="479" spans="1:18" x14ac:dyDescent="0.2">
      <c r="A479" s="22" t="s">
        <v>1914</v>
      </c>
      <c r="B479" s="23">
        <v>45721</v>
      </c>
      <c r="C479" s="22" t="s">
        <v>1915</v>
      </c>
      <c r="D479" s="22" t="s">
        <v>67</v>
      </c>
      <c r="E479" s="22">
        <v>2</v>
      </c>
      <c r="F479" s="24">
        <v>253.74</v>
      </c>
      <c r="G479" s="22" t="s">
        <v>1916</v>
      </c>
      <c r="H479" s="22" t="s">
        <v>79</v>
      </c>
      <c r="I479" s="22" t="s">
        <v>70</v>
      </c>
      <c r="J479" s="22" t="s">
        <v>1917</v>
      </c>
      <c r="K479" s="22">
        <v>5</v>
      </c>
      <c r="L479" s="22" t="s">
        <v>83</v>
      </c>
      <c r="M479" s="22" t="s">
        <v>88</v>
      </c>
      <c r="N479" s="24">
        <v>507.48</v>
      </c>
      <c r="O479" s="22">
        <f>YEAR(B479)</f>
        <v>2025</v>
      </c>
      <c r="P479" s="25">
        <f>DATE(YEAR(B479),MONTH(B479),1)</f>
        <v>45717</v>
      </c>
      <c r="Q479" s="22" t="str">
        <f>IF(N479&gt;Summary!$C$17,"Outlier","")</f>
        <v/>
      </c>
      <c r="R479" s="22" t="str">
        <f>IF(L479="","None",L479)</f>
        <v>SAVE10</v>
      </c>
    </row>
    <row r="480" spans="1:18" x14ac:dyDescent="0.2">
      <c r="A480" s="22" t="s">
        <v>1918</v>
      </c>
      <c r="B480" s="23">
        <v>45597</v>
      </c>
      <c r="C480" s="22" t="s">
        <v>1919</v>
      </c>
      <c r="D480" s="22" t="s">
        <v>64</v>
      </c>
      <c r="E480" s="22">
        <v>3</v>
      </c>
      <c r="F480" s="24">
        <v>62.77</v>
      </c>
      <c r="G480" s="22" t="s">
        <v>183</v>
      </c>
      <c r="H480" s="22" t="s">
        <v>78</v>
      </c>
      <c r="I480" s="22" t="s">
        <v>70</v>
      </c>
      <c r="J480" s="22" t="s">
        <v>1920</v>
      </c>
      <c r="K480" s="22">
        <v>6</v>
      </c>
      <c r="L480" s="22" t="s">
        <v>82</v>
      </c>
      <c r="M480" s="22" t="s">
        <v>90</v>
      </c>
      <c r="N480" s="24">
        <v>188.31</v>
      </c>
      <c r="O480" s="22">
        <f>YEAR(B480)</f>
        <v>2024</v>
      </c>
      <c r="P480" s="25">
        <f>DATE(YEAR(B480),MONTH(B480),1)</f>
        <v>45597</v>
      </c>
      <c r="Q480" s="22" t="str">
        <f>IF(N480&gt;Summary!$C$17,"Outlier","")</f>
        <v/>
      </c>
      <c r="R480" s="22" t="str">
        <f>IF(L480="","None",L480)</f>
        <v>FREESHIP</v>
      </c>
    </row>
    <row r="481" spans="1:18" x14ac:dyDescent="0.2">
      <c r="A481" s="22" t="s">
        <v>1921</v>
      </c>
      <c r="B481" s="23">
        <v>44975</v>
      </c>
      <c r="C481" s="22" t="s">
        <v>1922</v>
      </c>
      <c r="D481" s="22" t="s">
        <v>65</v>
      </c>
      <c r="E481" s="22">
        <v>4</v>
      </c>
      <c r="F481" s="24">
        <v>25.29</v>
      </c>
      <c r="G481" s="22" t="s">
        <v>1923</v>
      </c>
      <c r="H481" s="22" t="s">
        <v>76</v>
      </c>
      <c r="I481" s="22" t="s">
        <v>71</v>
      </c>
      <c r="J481" s="22" t="s">
        <v>1924</v>
      </c>
      <c r="K481" s="22">
        <v>8</v>
      </c>
      <c r="L481" s="22"/>
      <c r="M481" s="22" t="s">
        <v>88</v>
      </c>
      <c r="N481" s="24">
        <v>101.16</v>
      </c>
      <c r="O481" s="22">
        <f>YEAR(B481)</f>
        <v>2023</v>
      </c>
      <c r="P481" s="25">
        <f>DATE(YEAR(B481),MONTH(B481),1)</f>
        <v>44958</v>
      </c>
      <c r="Q481" s="22" t="str">
        <f>IF(N481&gt;Summary!$C$17,"Outlier","")</f>
        <v/>
      </c>
      <c r="R481" s="22" t="str">
        <f>IF(L481="","None",L481)</f>
        <v>None</v>
      </c>
    </row>
    <row r="482" spans="1:18" x14ac:dyDescent="0.2">
      <c r="A482" s="22" t="s">
        <v>1925</v>
      </c>
      <c r="B482" s="23">
        <v>45093</v>
      </c>
      <c r="C482" s="22" t="s">
        <v>1926</v>
      </c>
      <c r="D482" s="22" t="s">
        <v>61</v>
      </c>
      <c r="E482" s="22">
        <v>1</v>
      </c>
      <c r="F482" s="24">
        <v>335.1</v>
      </c>
      <c r="G482" s="22" t="s">
        <v>536</v>
      </c>
      <c r="H482" s="22" t="s">
        <v>77</v>
      </c>
      <c r="I482" s="22" t="s">
        <v>71</v>
      </c>
      <c r="J482" s="22" t="s">
        <v>1927</v>
      </c>
      <c r="K482" s="22">
        <v>6</v>
      </c>
      <c r="L482" s="22" t="s">
        <v>82</v>
      </c>
      <c r="M482" s="22" t="s">
        <v>90</v>
      </c>
      <c r="N482" s="24">
        <v>335.1</v>
      </c>
      <c r="O482" s="22">
        <f>YEAR(B482)</f>
        <v>2023</v>
      </c>
      <c r="P482" s="25">
        <f>DATE(YEAR(B482),MONTH(B482),1)</f>
        <v>45078</v>
      </c>
      <c r="Q482" s="22" t="str">
        <f>IF(N482&gt;Summary!$C$17,"Outlier","")</f>
        <v/>
      </c>
      <c r="R482" s="22" t="str">
        <f>IF(L482="","None",L482)</f>
        <v>FREESHIP</v>
      </c>
    </row>
    <row r="483" spans="1:18" x14ac:dyDescent="0.2">
      <c r="A483" s="22" t="s">
        <v>1928</v>
      </c>
      <c r="B483" s="23">
        <v>45039</v>
      </c>
      <c r="C483" s="22" t="s">
        <v>1929</v>
      </c>
      <c r="D483" s="22" t="s">
        <v>63</v>
      </c>
      <c r="E483" s="22">
        <v>4</v>
      </c>
      <c r="F483" s="24">
        <v>484.85</v>
      </c>
      <c r="G483" s="22" t="s">
        <v>943</v>
      </c>
      <c r="H483" s="22" t="s">
        <v>77</v>
      </c>
      <c r="I483" s="22" t="s">
        <v>69</v>
      </c>
      <c r="J483" s="22" t="s">
        <v>1930</v>
      </c>
      <c r="K483" s="22">
        <v>5</v>
      </c>
      <c r="L483" s="22" t="s">
        <v>84</v>
      </c>
      <c r="M483" s="22" t="s">
        <v>90</v>
      </c>
      <c r="N483" s="24">
        <v>1939.4</v>
      </c>
      <c r="O483" s="22">
        <f>YEAR(B483)</f>
        <v>2023</v>
      </c>
      <c r="P483" s="25">
        <f>DATE(YEAR(B483),MONTH(B483),1)</f>
        <v>45017</v>
      </c>
      <c r="Q483" s="22" t="str">
        <f>IF(N483&gt;Summary!$C$17,"Outlier","")</f>
        <v/>
      </c>
      <c r="R483" s="22" t="str">
        <f>IF(L483="","None",L483)</f>
        <v>WINTER15</v>
      </c>
    </row>
    <row r="484" spans="1:18" x14ac:dyDescent="0.2">
      <c r="A484" s="22" t="s">
        <v>1931</v>
      </c>
      <c r="B484" s="23">
        <v>45718</v>
      </c>
      <c r="C484" s="22" t="s">
        <v>1932</v>
      </c>
      <c r="D484" s="22" t="s">
        <v>65</v>
      </c>
      <c r="E484" s="22">
        <v>3</v>
      </c>
      <c r="F484" s="24">
        <v>381.41</v>
      </c>
      <c r="G484" s="22" t="s">
        <v>445</v>
      </c>
      <c r="H484" s="22" t="s">
        <v>79</v>
      </c>
      <c r="I484" s="22" t="s">
        <v>71</v>
      </c>
      <c r="J484" s="22" t="s">
        <v>1933</v>
      </c>
      <c r="K484" s="22">
        <v>6</v>
      </c>
      <c r="L484" s="22"/>
      <c r="M484" s="22" t="s">
        <v>89</v>
      </c>
      <c r="N484" s="24">
        <v>1144.23</v>
      </c>
      <c r="O484" s="22">
        <f>YEAR(B484)</f>
        <v>2025</v>
      </c>
      <c r="P484" s="25">
        <f>DATE(YEAR(B484),MONTH(B484),1)</f>
        <v>45717</v>
      </c>
      <c r="Q484" s="22" t="str">
        <f>IF(N484&gt;Summary!$C$17,"Outlier","")</f>
        <v/>
      </c>
      <c r="R484" s="22" t="str">
        <f>IF(L484="","None",L484)</f>
        <v>None</v>
      </c>
    </row>
    <row r="485" spans="1:18" x14ac:dyDescent="0.2">
      <c r="A485" s="22" t="s">
        <v>1934</v>
      </c>
      <c r="B485" s="23">
        <v>44944</v>
      </c>
      <c r="C485" s="22" t="s">
        <v>1935</v>
      </c>
      <c r="D485" s="22" t="s">
        <v>67</v>
      </c>
      <c r="E485" s="22">
        <v>5</v>
      </c>
      <c r="F485" s="24">
        <v>347.92</v>
      </c>
      <c r="G485" s="22" t="s">
        <v>1936</v>
      </c>
      <c r="H485" s="22" t="s">
        <v>75</v>
      </c>
      <c r="I485" s="22" t="s">
        <v>71</v>
      </c>
      <c r="J485" s="22" t="s">
        <v>1937</v>
      </c>
      <c r="K485" s="22">
        <v>6</v>
      </c>
      <c r="L485" s="22" t="s">
        <v>84</v>
      </c>
      <c r="M485" s="22" t="s">
        <v>88</v>
      </c>
      <c r="N485" s="24">
        <v>1739.6</v>
      </c>
      <c r="O485" s="22">
        <f>YEAR(B485)</f>
        <v>2023</v>
      </c>
      <c r="P485" s="25">
        <f>DATE(YEAR(B485),MONTH(B485),1)</f>
        <v>44927</v>
      </c>
      <c r="Q485" s="22" t="str">
        <f>IF(N485&gt;Summary!$C$17,"Outlier","")</f>
        <v/>
      </c>
      <c r="R485" s="22" t="str">
        <f>IF(L485="","None",L485)</f>
        <v>WINTER15</v>
      </c>
    </row>
    <row r="486" spans="1:18" x14ac:dyDescent="0.2">
      <c r="A486" s="22" t="s">
        <v>1938</v>
      </c>
      <c r="B486" s="23">
        <v>45441</v>
      </c>
      <c r="C486" s="22" t="s">
        <v>1939</v>
      </c>
      <c r="D486" s="22" t="s">
        <v>61</v>
      </c>
      <c r="E486" s="22">
        <v>4</v>
      </c>
      <c r="F486" s="24">
        <v>15.01</v>
      </c>
      <c r="G486" s="22" t="s">
        <v>1669</v>
      </c>
      <c r="H486" s="22" t="s">
        <v>75</v>
      </c>
      <c r="I486" s="22" t="s">
        <v>73</v>
      </c>
      <c r="J486" s="22" t="s">
        <v>1940</v>
      </c>
      <c r="K486" s="22">
        <v>6</v>
      </c>
      <c r="L486" s="22"/>
      <c r="M486" s="22" t="s">
        <v>87</v>
      </c>
      <c r="N486" s="24">
        <v>60.04</v>
      </c>
      <c r="O486" s="22">
        <f>YEAR(B486)</f>
        <v>2024</v>
      </c>
      <c r="P486" s="25">
        <f>DATE(YEAR(B486),MONTH(B486),1)</f>
        <v>45413</v>
      </c>
      <c r="Q486" s="22" t="str">
        <f>IF(N486&gt;Summary!$C$17,"Outlier","")</f>
        <v/>
      </c>
      <c r="R486" s="22" t="str">
        <f>IF(L486="","None",L486)</f>
        <v>None</v>
      </c>
    </row>
    <row r="487" spans="1:18" x14ac:dyDescent="0.2">
      <c r="A487" s="22" t="s">
        <v>1941</v>
      </c>
      <c r="B487" s="23">
        <v>45139</v>
      </c>
      <c r="C487" s="22" t="s">
        <v>1942</v>
      </c>
      <c r="D487" s="22" t="s">
        <v>61</v>
      </c>
      <c r="E487" s="22">
        <v>3</v>
      </c>
      <c r="F487" s="24">
        <v>404.79</v>
      </c>
      <c r="G487" s="22" t="s">
        <v>1943</v>
      </c>
      <c r="H487" s="22" t="s">
        <v>75</v>
      </c>
      <c r="I487" s="22" t="s">
        <v>70</v>
      </c>
      <c r="J487" s="22" t="s">
        <v>1944</v>
      </c>
      <c r="K487" s="22">
        <v>6</v>
      </c>
      <c r="L487" s="22" t="s">
        <v>83</v>
      </c>
      <c r="M487" s="22" t="s">
        <v>89</v>
      </c>
      <c r="N487" s="24">
        <v>1214.3699999999999</v>
      </c>
      <c r="O487" s="22">
        <f>YEAR(B487)</f>
        <v>2023</v>
      </c>
      <c r="P487" s="25">
        <f>DATE(YEAR(B487),MONTH(B487),1)</f>
        <v>45139</v>
      </c>
      <c r="Q487" s="22" t="str">
        <f>IF(N487&gt;Summary!$C$17,"Outlier","")</f>
        <v/>
      </c>
      <c r="R487" s="22" t="str">
        <f>IF(L487="","None",L487)</f>
        <v>SAVE10</v>
      </c>
    </row>
    <row r="488" spans="1:18" x14ac:dyDescent="0.2">
      <c r="A488" s="22" t="s">
        <v>1945</v>
      </c>
      <c r="B488" s="23">
        <v>44960</v>
      </c>
      <c r="C488" s="22" t="s">
        <v>1946</v>
      </c>
      <c r="D488" s="22" t="s">
        <v>62</v>
      </c>
      <c r="E488" s="22">
        <v>4</v>
      </c>
      <c r="F488" s="24">
        <v>611.26</v>
      </c>
      <c r="G488" s="22" t="s">
        <v>1600</v>
      </c>
      <c r="H488" s="22" t="s">
        <v>75</v>
      </c>
      <c r="I488" s="22" t="s">
        <v>70</v>
      </c>
      <c r="J488" s="22" t="s">
        <v>1947</v>
      </c>
      <c r="K488" s="22">
        <v>5</v>
      </c>
      <c r="L488" s="22" t="s">
        <v>83</v>
      </c>
      <c r="M488" s="22" t="s">
        <v>90</v>
      </c>
      <c r="N488" s="24">
        <v>2445.04</v>
      </c>
      <c r="O488" s="22">
        <f>YEAR(B488)</f>
        <v>2023</v>
      </c>
      <c r="P488" s="25">
        <f>DATE(YEAR(B488),MONTH(B488),1)</f>
        <v>44958</v>
      </c>
      <c r="Q488" s="22" t="str">
        <f>IF(N488&gt;Summary!$C$17,"Outlier","")</f>
        <v/>
      </c>
      <c r="R488" s="22" t="str">
        <f>IF(L488="","None",L488)</f>
        <v>SAVE10</v>
      </c>
    </row>
    <row r="489" spans="1:18" x14ac:dyDescent="0.2">
      <c r="A489" s="22" t="s">
        <v>1948</v>
      </c>
      <c r="B489" s="23">
        <v>44994</v>
      </c>
      <c r="C489" s="22" t="s">
        <v>1949</v>
      </c>
      <c r="D489" s="22" t="s">
        <v>62</v>
      </c>
      <c r="E489" s="22">
        <v>3</v>
      </c>
      <c r="F489" s="24">
        <v>346.52</v>
      </c>
      <c r="G489" s="22" t="s">
        <v>1950</v>
      </c>
      <c r="H489" s="22" t="s">
        <v>76</v>
      </c>
      <c r="I489" s="22" t="s">
        <v>71</v>
      </c>
      <c r="J489" s="22" t="s">
        <v>1951</v>
      </c>
      <c r="K489" s="22">
        <v>3</v>
      </c>
      <c r="L489" s="22" t="s">
        <v>83</v>
      </c>
      <c r="M489" s="22" t="s">
        <v>88</v>
      </c>
      <c r="N489" s="24">
        <v>1039.56</v>
      </c>
      <c r="O489" s="22">
        <f>YEAR(B489)</f>
        <v>2023</v>
      </c>
      <c r="P489" s="25">
        <f>DATE(YEAR(B489),MONTH(B489),1)</f>
        <v>44986</v>
      </c>
      <c r="Q489" s="22" t="str">
        <f>IF(N489&gt;Summary!$C$17,"Outlier","")</f>
        <v/>
      </c>
      <c r="R489" s="22" t="str">
        <f>IF(L489="","None",L489)</f>
        <v>SAVE10</v>
      </c>
    </row>
    <row r="490" spans="1:18" x14ac:dyDescent="0.2">
      <c r="A490" s="22" t="s">
        <v>1952</v>
      </c>
      <c r="B490" s="23">
        <v>45631</v>
      </c>
      <c r="C490" s="22" t="s">
        <v>1953</v>
      </c>
      <c r="D490" s="22" t="s">
        <v>61</v>
      </c>
      <c r="E490" s="22">
        <v>1</v>
      </c>
      <c r="F490" s="24">
        <v>36.65</v>
      </c>
      <c r="G490" s="22" t="s">
        <v>1954</v>
      </c>
      <c r="H490" s="22" t="s">
        <v>79</v>
      </c>
      <c r="I490" s="22" t="s">
        <v>73</v>
      </c>
      <c r="J490" s="22" t="s">
        <v>1955</v>
      </c>
      <c r="K490" s="22">
        <v>1</v>
      </c>
      <c r="L490" s="22" t="s">
        <v>84</v>
      </c>
      <c r="M490" s="22" t="s">
        <v>86</v>
      </c>
      <c r="N490" s="24">
        <v>36.65</v>
      </c>
      <c r="O490" s="22">
        <f>YEAR(B490)</f>
        <v>2024</v>
      </c>
      <c r="P490" s="25">
        <f>DATE(YEAR(B490),MONTH(B490),1)</f>
        <v>45627</v>
      </c>
      <c r="Q490" s="22" t="str">
        <f>IF(N490&gt;Summary!$C$17,"Outlier","")</f>
        <v/>
      </c>
      <c r="R490" s="22" t="str">
        <f>IF(L490="","None",L490)</f>
        <v>WINTER15</v>
      </c>
    </row>
    <row r="491" spans="1:18" x14ac:dyDescent="0.2">
      <c r="A491" s="22" t="s">
        <v>1956</v>
      </c>
      <c r="B491" s="23">
        <v>45174</v>
      </c>
      <c r="C491" s="22" t="s">
        <v>1957</v>
      </c>
      <c r="D491" s="22" t="s">
        <v>64</v>
      </c>
      <c r="E491" s="22">
        <v>3</v>
      </c>
      <c r="F491" s="24">
        <v>149.34</v>
      </c>
      <c r="G491" s="22" t="s">
        <v>1143</v>
      </c>
      <c r="H491" s="22" t="s">
        <v>78</v>
      </c>
      <c r="I491" s="22" t="s">
        <v>73</v>
      </c>
      <c r="J491" s="22" t="s">
        <v>1958</v>
      </c>
      <c r="K491" s="22">
        <v>7</v>
      </c>
      <c r="L491" s="22" t="s">
        <v>84</v>
      </c>
      <c r="M491" s="22" t="s">
        <v>86</v>
      </c>
      <c r="N491" s="24">
        <v>448.02</v>
      </c>
      <c r="O491" s="22">
        <f>YEAR(B491)</f>
        <v>2023</v>
      </c>
      <c r="P491" s="25">
        <f>DATE(YEAR(B491),MONTH(B491),1)</f>
        <v>45170</v>
      </c>
      <c r="Q491" s="22" t="str">
        <f>IF(N491&gt;Summary!$C$17,"Outlier","")</f>
        <v/>
      </c>
      <c r="R491" s="22" t="str">
        <f>IF(L491="","None",L491)</f>
        <v>WINTER15</v>
      </c>
    </row>
    <row r="492" spans="1:18" x14ac:dyDescent="0.2">
      <c r="A492" s="22" t="s">
        <v>1959</v>
      </c>
      <c r="B492" s="23">
        <v>45495</v>
      </c>
      <c r="C492" s="22" t="s">
        <v>1960</v>
      </c>
      <c r="D492" s="22" t="s">
        <v>61</v>
      </c>
      <c r="E492" s="22">
        <v>5</v>
      </c>
      <c r="F492" s="24">
        <v>467.81</v>
      </c>
      <c r="G492" s="22" t="s">
        <v>1961</v>
      </c>
      <c r="H492" s="22" t="s">
        <v>79</v>
      </c>
      <c r="I492" s="22" t="s">
        <v>73</v>
      </c>
      <c r="J492" s="22" t="s">
        <v>1962</v>
      </c>
      <c r="K492" s="22">
        <v>10</v>
      </c>
      <c r="L492" s="22"/>
      <c r="M492" s="22" t="s">
        <v>87</v>
      </c>
      <c r="N492" s="24">
        <v>2339.0500000000002</v>
      </c>
      <c r="O492" s="22">
        <f>YEAR(B492)</f>
        <v>2024</v>
      </c>
      <c r="P492" s="25">
        <f>DATE(YEAR(B492),MONTH(B492),1)</f>
        <v>45474</v>
      </c>
      <c r="Q492" s="22" t="str">
        <f>IF(N492&gt;Summary!$C$17,"Outlier","")</f>
        <v/>
      </c>
      <c r="R492" s="22" t="str">
        <f>IF(L492="","None",L492)</f>
        <v>None</v>
      </c>
    </row>
    <row r="493" spans="1:18" x14ac:dyDescent="0.2">
      <c r="A493" s="22" t="s">
        <v>1963</v>
      </c>
      <c r="B493" s="23">
        <v>44931</v>
      </c>
      <c r="C493" s="22" t="s">
        <v>1964</v>
      </c>
      <c r="D493" s="22" t="s">
        <v>67</v>
      </c>
      <c r="E493" s="22">
        <v>5</v>
      </c>
      <c r="F493" s="24">
        <v>420.7</v>
      </c>
      <c r="G493" s="22" t="s">
        <v>1916</v>
      </c>
      <c r="H493" s="22" t="s">
        <v>75</v>
      </c>
      <c r="I493" s="22" t="s">
        <v>71</v>
      </c>
      <c r="J493" s="22" t="s">
        <v>1965</v>
      </c>
      <c r="K493" s="22">
        <v>5</v>
      </c>
      <c r="L493" s="22" t="s">
        <v>84</v>
      </c>
      <c r="M493" s="22" t="s">
        <v>87</v>
      </c>
      <c r="N493" s="24">
        <v>2103.5</v>
      </c>
      <c r="O493" s="22">
        <f>YEAR(B493)</f>
        <v>2023</v>
      </c>
      <c r="P493" s="25">
        <f>DATE(YEAR(B493),MONTH(B493),1)</f>
        <v>44927</v>
      </c>
      <c r="Q493" s="22" t="str">
        <f>IF(N493&gt;Summary!$C$17,"Outlier","")</f>
        <v/>
      </c>
      <c r="R493" s="22" t="str">
        <f>IF(L493="","None",L493)</f>
        <v>WINTER15</v>
      </c>
    </row>
    <row r="494" spans="1:18" x14ac:dyDescent="0.2">
      <c r="A494" s="22" t="s">
        <v>1966</v>
      </c>
      <c r="B494" s="23">
        <v>45224</v>
      </c>
      <c r="C494" s="22" t="s">
        <v>1967</v>
      </c>
      <c r="D494" s="22" t="s">
        <v>63</v>
      </c>
      <c r="E494" s="22">
        <v>5</v>
      </c>
      <c r="F494" s="24">
        <v>606.52</v>
      </c>
      <c r="G494" s="22" t="s">
        <v>429</v>
      </c>
      <c r="H494" s="22" t="s">
        <v>77</v>
      </c>
      <c r="I494" s="22" t="s">
        <v>70</v>
      </c>
      <c r="J494" s="22" t="s">
        <v>1968</v>
      </c>
      <c r="K494" s="22">
        <v>6</v>
      </c>
      <c r="L494" s="22" t="s">
        <v>83</v>
      </c>
      <c r="M494" s="22" t="s">
        <v>89</v>
      </c>
      <c r="N494" s="24">
        <v>3032.6</v>
      </c>
      <c r="O494" s="22">
        <f>YEAR(B494)</f>
        <v>2023</v>
      </c>
      <c r="P494" s="25">
        <f>DATE(YEAR(B494),MONTH(B494),1)</f>
        <v>45200</v>
      </c>
      <c r="Q494" s="22" t="str">
        <f>IF(N494&gt;Summary!$C$17,"Outlier","")</f>
        <v/>
      </c>
      <c r="R494" s="22" t="str">
        <f>IF(L494="","None",L494)</f>
        <v>SAVE10</v>
      </c>
    </row>
    <row r="495" spans="1:18" x14ac:dyDescent="0.2">
      <c r="A495" s="22" t="s">
        <v>1969</v>
      </c>
      <c r="B495" s="23">
        <v>45685</v>
      </c>
      <c r="C495" s="22" t="s">
        <v>1970</v>
      </c>
      <c r="D495" s="22" t="s">
        <v>67</v>
      </c>
      <c r="E495" s="22">
        <v>1</v>
      </c>
      <c r="F495" s="24">
        <v>420.26</v>
      </c>
      <c r="G495" s="22" t="s">
        <v>1971</v>
      </c>
      <c r="H495" s="22" t="s">
        <v>76</v>
      </c>
      <c r="I495" s="22" t="s">
        <v>71</v>
      </c>
      <c r="J495" s="22" t="s">
        <v>1972</v>
      </c>
      <c r="K495" s="22">
        <v>4</v>
      </c>
      <c r="L495" s="22" t="s">
        <v>82</v>
      </c>
      <c r="M495" s="22" t="s">
        <v>87</v>
      </c>
      <c r="N495" s="24">
        <v>420.26</v>
      </c>
      <c r="O495" s="22">
        <f>YEAR(B495)</f>
        <v>2025</v>
      </c>
      <c r="P495" s="25">
        <f>DATE(YEAR(B495),MONTH(B495),1)</f>
        <v>45658</v>
      </c>
      <c r="Q495" s="22" t="str">
        <f>IF(N495&gt;Summary!$C$17,"Outlier","")</f>
        <v/>
      </c>
      <c r="R495" s="22" t="str">
        <f>IF(L495="","None",L495)</f>
        <v>FREESHIP</v>
      </c>
    </row>
    <row r="496" spans="1:18" x14ac:dyDescent="0.2">
      <c r="A496" s="22" t="s">
        <v>1973</v>
      </c>
      <c r="B496" s="23">
        <v>45126</v>
      </c>
      <c r="C496" s="22" t="s">
        <v>1974</v>
      </c>
      <c r="D496" s="22" t="s">
        <v>63</v>
      </c>
      <c r="E496" s="22">
        <v>3</v>
      </c>
      <c r="F496" s="24">
        <v>505.79</v>
      </c>
      <c r="G496" s="22" t="s">
        <v>1975</v>
      </c>
      <c r="H496" s="22" t="s">
        <v>77</v>
      </c>
      <c r="I496" s="22" t="s">
        <v>71</v>
      </c>
      <c r="J496" s="22" t="s">
        <v>1976</v>
      </c>
      <c r="K496" s="22">
        <v>3</v>
      </c>
      <c r="L496" s="22" t="s">
        <v>82</v>
      </c>
      <c r="M496" s="22" t="s">
        <v>90</v>
      </c>
      <c r="N496" s="24">
        <v>1517.37</v>
      </c>
      <c r="O496" s="22">
        <f>YEAR(B496)</f>
        <v>2023</v>
      </c>
      <c r="P496" s="25">
        <f>DATE(YEAR(B496),MONTH(B496),1)</f>
        <v>45108</v>
      </c>
      <c r="Q496" s="22" t="str">
        <f>IF(N496&gt;Summary!$C$17,"Outlier","")</f>
        <v/>
      </c>
      <c r="R496" s="22" t="str">
        <f>IF(L496="","None",L496)</f>
        <v>FREESHIP</v>
      </c>
    </row>
    <row r="497" spans="1:18" x14ac:dyDescent="0.2">
      <c r="A497" s="22" t="s">
        <v>1977</v>
      </c>
      <c r="B497" s="23">
        <v>45813</v>
      </c>
      <c r="C497" s="22" t="s">
        <v>1978</v>
      </c>
      <c r="D497" s="22" t="s">
        <v>67</v>
      </c>
      <c r="E497" s="22">
        <v>4</v>
      </c>
      <c r="F497" s="24">
        <v>493.73</v>
      </c>
      <c r="G497" s="22" t="s">
        <v>711</v>
      </c>
      <c r="H497" s="22" t="s">
        <v>77</v>
      </c>
      <c r="I497" s="22" t="s">
        <v>71</v>
      </c>
      <c r="J497" s="22" t="s">
        <v>1979</v>
      </c>
      <c r="K497" s="22">
        <v>6</v>
      </c>
      <c r="L497" s="22" t="s">
        <v>83</v>
      </c>
      <c r="M497" s="22" t="s">
        <v>87</v>
      </c>
      <c r="N497" s="24">
        <v>1974.92</v>
      </c>
      <c r="O497" s="22">
        <f>YEAR(B497)</f>
        <v>2025</v>
      </c>
      <c r="P497" s="25">
        <f>DATE(YEAR(B497),MONTH(B497),1)</f>
        <v>45809</v>
      </c>
      <c r="Q497" s="22" t="str">
        <f>IF(N497&gt;Summary!$C$17,"Outlier","")</f>
        <v/>
      </c>
      <c r="R497" s="22" t="str">
        <f>IF(L497="","None",L497)</f>
        <v>SAVE10</v>
      </c>
    </row>
    <row r="498" spans="1:18" x14ac:dyDescent="0.2">
      <c r="A498" s="22" t="s">
        <v>1980</v>
      </c>
      <c r="B498" s="23">
        <v>45730</v>
      </c>
      <c r="C498" s="22" t="s">
        <v>1981</v>
      </c>
      <c r="D498" s="22" t="s">
        <v>62</v>
      </c>
      <c r="E498" s="22">
        <v>3</v>
      </c>
      <c r="F498" s="24">
        <v>201.21</v>
      </c>
      <c r="G498" s="22" t="s">
        <v>1982</v>
      </c>
      <c r="H498" s="22" t="s">
        <v>79</v>
      </c>
      <c r="I498" s="22" t="s">
        <v>73</v>
      </c>
      <c r="J498" s="22" t="s">
        <v>1983</v>
      </c>
      <c r="K498" s="22">
        <v>3</v>
      </c>
      <c r="L498" s="22" t="s">
        <v>83</v>
      </c>
      <c r="M498" s="22" t="s">
        <v>88</v>
      </c>
      <c r="N498" s="24">
        <v>603.63</v>
      </c>
      <c r="O498" s="22">
        <f>YEAR(B498)</f>
        <v>2025</v>
      </c>
      <c r="P498" s="25">
        <f>DATE(YEAR(B498),MONTH(B498),1)</f>
        <v>45717</v>
      </c>
      <c r="Q498" s="22" t="str">
        <f>IF(N498&gt;Summary!$C$17,"Outlier","")</f>
        <v/>
      </c>
      <c r="R498" s="22" t="str">
        <f>IF(L498="","None",L498)</f>
        <v>SAVE10</v>
      </c>
    </row>
    <row r="499" spans="1:18" x14ac:dyDescent="0.2">
      <c r="A499" s="22" t="s">
        <v>1984</v>
      </c>
      <c r="B499" s="23">
        <v>45589</v>
      </c>
      <c r="C499" s="22" t="s">
        <v>1985</v>
      </c>
      <c r="D499" s="22" t="s">
        <v>62</v>
      </c>
      <c r="E499" s="22">
        <v>3</v>
      </c>
      <c r="F499" s="24">
        <v>112.29</v>
      </c>
      <c r="G499" s="22" t="s">
        <v>1986</v>
      </c>
      <c r="H499" s="22" t="s">
        <v>78</v>
      </c>
      <c r="I499" s="22" t="s">
        <v>70</v>
      </c>
      <c r="J499" s="22" t="s">
        <v>1987</v>
      </c>
      <c r="K499" s="22">
        <v>6</v>
      </c>
      <c r="L499" s="22"/>
      <c r="M499" s="22" t="s">
        <v>88</v>
      </c>
      <c r="N499" s="24">
        <v>336.87</v>
      </c>
      <c r="O499" s="22">
        <f>YEAR(B499)</f>
        <v>2024</v>
      </c>
      <c r="P499" s="25">
        <f>DATE(YEAR(B499),MONTH(B499),1)</f>
        <v>45566</v>
      </c>
      <c r="Q499" s="22" t="str">
        <f>IF(N499&gt;Summary!$C$17,"Outlier","")</f>
        <v/>
      </c>
      <c r="R499" s="22" t="str">
        <f>IF(L499="","None",L499)</f>
        <v>None</v>
      </c>
    </row>
    <row r="500" spans="1:18" x14ac:dyDescent="0.2">
      <c r="A500" s="22" t="s">
        <v>1988</v>
      </c>
      <c r="B500" s="23">
        <v>45119</v>
      </c>
      <c r="C500" s="22" t="s">
        <v>1989</v>
      </c>
      <c r="D500" s="22" t="s">
        <v>64</v>
      </c>
      <c r="E500" s="22">
        <v>4</v>
      </c>
      <c r="F500" s="24">
        <v>132.56</v>
      </c>
      <c r="G500" s="22" t="s">
        <v>1065</v>
      </c>
      <c r="H500" s="22" t="s">
        <v>75</v>
      </c>
      <c r="I500" s="22" t="s">
        <v>72</v>
      </c>
      <c r="J500" s="22" t="s">
        <v>1990</v>
      </c>
      <c r="K500" s="22">
        <v>8</v>
      </c>
      <c r="L500" s="22" t="s">
        <v>84</v>
      </c>
      <c r="M500" s="22" t="s">
        <v>89</v>
      </c>
      <c r="N500" s="24">
        <v>530.24</v>
      </c>
      <c r="O500" s="22">
        <f>YEAR(B500)</f>
        <v>2023</v>
      </c>
      <c r="P500" s="25">
        <f>DATE(YEAR(B500),MONTH(B500),1)</f>
        <v>45108</v>
      </c>
      <c r="Q500" s="22" t="str">
        <f>IF(N500&gt;Summary!$C$17,"Outlier","")</f>
        <v/>
      </c>
      <c r="R500" s="22" t="str">
        <f>IF(L500="","None",L500)</f>
        <v>WINTER15</v>
      </c>
    </row>
    <row r="501" spans="1:18" x14ac:dyDescent="0.2">
      <c r="A501" s="22" t="s">
        <v>1991</v>
      </c>
      <c r="B501" s="23">
        <v>45022</v>
      </c>
      <c r="C501" s="22" t="s">
        <v>1992</v>
      </c>
      <c r="D501" s="22" t="s">
        <v>62</v>
      </c>
      <c r="E501" s="22">
        <v>3</v>
      </c>
      <c r="F501" s="24">
        <v>539.46</v>
      </c>
      <c r="G501" s="22" t="s">
        <v>1993</v>
      </c>
      <c r="H501" s="22" t="s">
        <v>76</v>
      </c>
      <c r="I501" s="22" t="s">
        <v>70</v>
      </c>
      <c r="J501" s="22" t="s">
        <v>1994</v>
      </c>
      <c r="K501" s="22">
        <v>4</v>
      </c>
      <c r="L501" s="22" t="s">
        <v>83</v>
      </c>
      <c r="M501" s="22" t="s">
        <v>87</v>
      </c>
      <c r="N501" s="24">
        <v>1618.38</v>
      </c>
      <c r="O501" s="22">
        <f>YEAR(B501)</f>
        <v>2023</v>
      </c>
      <c r="P501" s="25">
        <f>DATE(YEAR(B501),MONTH(B501),1)</f>
        <v>45017</v>
      </c>
      <c r="Q501" s="22" t="str">
        <f>IF(N501&gt;Summary!$C$17,"Outlier","")</f>
        <v/>
      </c>
      <c r="R501" s="22" t="str">
        <f>IF(L501="","None",L501)</f>
        <v>SAVE10</v>
      </c>
    </row>
    <row r="502" spans="1:18" x14ac:dyDescent="0.2">
      <c r="A502" s="22" t="s">
        <v>1995</v>
      </c>
      <c r="B502" s="23">
        <v>45389</v>
      </c>
      <c r="C502" s="22" t="s">
        <v>1996</v>
      </c>
      <c r="D502" s="22" t="s">
        <v>63</v>
      </c>
      <c r="E502" s="22">
        <v>5</v>
      </c>
      <c r="F502" s="24">
        <v>508.59</v>
      </c>
      <c r="G502" s="22" t="s">
        <v>1997</v>
      </c>
      <c r="H502" s="22" t="s">
        <v>75</v>
      </c>
      <c r="I502" s="22" t="s">
        <v>72</v>
      </c>
      <c r="J502" s="22" t="s">
        <v>1998</v>
      </c>
      <c r="K502" s="22">
        <v>8</v>
      </c>
      <c r="L502" s="22" t="s">
        <v>84</v>
      </c>
      <c r="M502" s="22" t="s">
        <v>87</v>
      </c>
      <c r="N502" s="24">
        <v>2542.9499999999998</v>
      </c>
      <c r="O502" s="22">
        <f>YEAR(B502)</f>
        <v>2024</v>
      </c>
      <c r="P502" s="25">
        <f>DATE(YEAR(B502),MONTH(B502),1)</f>
        <v>45383</v>
      </c>
      <c r="Q502" s="22" t="str">
        <f>IF(N502&gt;Summary!$C$17,"Outlier","")</f>
        <v/>
      </c>
      <c r="R502" s="22" t="str">
        <f>IF(L502="","None",L502)</f>
        <v>WINTER15</v>
      </c>
    </row>
    <row r="503" spans="1:18" x14ac:dyDescent="0.2">
      <c r="A503" s="22" t="s">
        <v>1999</v>
      </c>
      <c r="B503" s="23">
        <v>45326</v>
      </c>
      <c r="C503" s="22" t="s">
        <v>2000</v>
      </c>
      <c r="D503" s="22" t="s">
        <v>66</v>
      </c>
      <c r="E503" s="22">
        <v>4</v>
      </c>
      <c r="F503" s="24">
        <v>203.46</v>
      </c>
      <c r="G503" s="22" t="s">
        <v>762</v>
      </c>
      <c r="H503" s="22" t="s">
        <v>76</v>
      </c>
      <c r="I503" s="22" t="s">
        <v>71</v>
      </c>
      <c r="J503" s="22" t="s">
        <v>2001</v>
      </c>
      <c r="K503" s="22">
        <v>7</v>
      </c>
      <c r="L503" s="22" t="s">
        <v>83</v>
      </c>
      <c r="M503" s="22" t="s">
        <v>90</v>
      </c>
      <c r="N503" s="24">
        <v>813.84</v>
      </c>
      <c r="O503" s="22">
        <f>YEAR(B503)</f>
        <v>2024</v>
      </c>
      <c r="P503" s="25">
        <f>DATE(YEAR(B503),MONTH(B503),1)</f>
        <v>45323</v>
      </c>
      <c r="Q503" s="22" t="str">
        <f>IF(N503&gt;Summary!$C$17,"Outlier","")</f>
        <v/>
      </c>
      <c r="R503" s="22" t="str">
        <f>IF(L503="","None",L503)</f>
        <v>SAVE10</v>
      </c>
    </row>
    <row r="504" spans="1:18" x14ac:dyDescent="0.2">
      <c r="A504" s="22" t="s">
        <v>2002</v>
      </c>
      <c r="B504" s="23">
        <v>45066</v>
      </c>
      <c r="C504" s="22" t="s">
        <v>2003</v>
      </c>
      <c r="D504" s="22" t="s">
        <v>65</v>
      </c>
      <c r="E504" s="22">
        <v>3</v>
      </c>
      <c r="F504" s="24">
        <v>565.25</v>
      </c>
      <c r="G504" s="22" t="s">
        <v>2004</v>
      </c>
      <c r="H504" s="22" t="s">
        <v>77</v>
      </c>
      <c r="I504" s="22" t="s">
        <v>72</v>
      </c>
      <c r="J504" s="22" t="s">
        <v>2005</v>
      </c>
      <c r="K504" s="22">
        <v>7</v>
      </c>
      <c r="L504" s="22" t="s">
        <v>83</v>
      </c>
      <c r="M504" s="22" t="s">
        <v>86</v>
      </c>
      <c r="N504" s="24">
        <v>1695.75</v>
      </c>
      <c r="O504" s="22">
        <f>YEAR(B504)</f>
        <v>2023</v>
      </c>
      <c r="P504" s="25">
        <f>DATE(YEAR(B504),MONTH(B504),1)</f>
        <v>45047</v>
      </c>
      <c r="Q504" s="22" t="str">
        <f>IF(N504&gt;Summary!$C$17,"Outlier","")</f>
        <v/>
      </c>
      <c r="R504" s="22" t="str">
        <f>IF(L504="","None",L504)</f>
        <v>SAVE10</v>
      </c>
    </row>
    <row r="505" spans="1:18" x14ac:dyDescent="0.2">
      <c r="A505" s="22" t="s">
        <v>2006</v>
      </c>
      <c r="B505" s="23">
        <v>45169</v>
      </c>
      <c r="C505" s="22" t="s">
        <v>2007</v>
      </c>
      <c r="D505" s="22" t="s">
        <v>64</v>
      </c>
      <c r="E505" s="22">
        <v>3</v>
      </c>
      <c r="F505" s="24">
        <v>136.84</v>
      </c>
      <c r="G505" s="22" t="s">
        <v>2008</v>
      </c>
      <c r="H505" s="22" t="s">
        <v>79</v>
      </c>
      <c r="I505" s="22" t="s">
        <v>71</v>
      </c>
      <c r="J505" s="22" t="s">
        <v>2009</v>
      </c>
      <c r="K505" s="22">
        <v>4</v>
      </c>
      <c r="L505" s="22" t="s">
        <v>82</v>
      </c>
      <c r="M505" s="22" t="s">
        <v>87</v>
      </c>
      <c r="N505" s="24">
        <v>410.52</v>
      </c>
      <c r="O505" s="22">
        <f>YEAR(B505)</f>
        <v>2023</v>
      </c>
      <c r="P505" s="25">
        <f>DATE(YEAR(B505),MONTH(B505),1)</f>
        <v>45139</v>
      </c>
      <c r="Q505" s="22" t="str">
        <f>IF(N505&gt;Summary!$C$17,"Outlier","")</f>
        <v/>
      </c>
      <c r="R505" s="22" t="str">
        <f>IF(L505="","None",L505)</f>
        <v>FREESHIP</v>
      </c>
    </row>
    <row r="506" spans="1:18" x14ac:dyDescent="0.2">
      <c r="A506" s="22" t="s">
        <v>2010</v>
      </c>
      <c r="B506" s="23">
        <v>45819</v>
      </c>
      <c r="C506" s="22" t="s">
        <v>2011</v>
      </c>
      <c r="D506" s="22" t="s">
        <v>65</v>
      </c>
      <c r="E506" s="22">
        <v>2</v>
      </c>
      <c r="F506" s="24">
        <v>464.5</v>
      </c>
      <c r="G506" s="22" t="s">
        <v>2012</v>
      </c>
      <c r="H506" s="22" t="s">
        <v>79</v>
      </c>
      <c r="I506" s="22" t="s">
        <v>73</v>
      </c>
      <c r="J506" s="22" t="s">
        <v>2013</v>
      </c>
      <c r="K506" s="22">
        <v>2</v>
      </c>
      <c r="L506" s="22" t="s">
        <v>84</v>
      </c>
      <c r="M506" s="22" t="s">
        <v>89</v>
      </c>
      <c r="N506" s="24">
        <v>929</v>
      </c>
      <c r="O506" s="22">
        <f>YEAR(B506)</f>
        <v>2025</v>
      </c>
      <c r="P506" s="25">
        <f>DATE(YEAR(B506),MONTH(B506),1)</f>
        <v>45809</v>
      </c>
      <c r="Q506" s="22" t="str">
        <f>IF(N506&gt;Summary!$C$17,"Outlier","")</f>
        <v/>
      </c>
      <c r="R506" s="22" t="str">
        <f>IF(L506="","None",L506)</f>
        <v>WINTER15</v>
      </c>
    </row>
    <row r="507" spans="1:18" x14ac:dyDescent="0.2">
      <c r="A507" s="22" t="s">
        <v>2014</v>
      </c>
      <c r="B507" s="23">
        <v>45088</v>
      </c>
      <c r="C507" s="22" t="s">
        <v>2015</v>
      </c>
      <c r="D507" s="22" t="s">
        <v>62</v>
      </c>
      <c r="E507" s="22">
        <v>2</v>
      </c>
      <c r="F507" s="24">
        <v>434.97</v>
      </c>
      <c r="G507" s="22" t="s">
        <v>1600</v>
      </c>
      <c r="H507" s="22" t="s">
        <v>79</v>
      </c>
      <c r="I507" s="22" t="s">
        <v>70</v>
      </c>
      <c r="J507" s="22" t="s">
        <v>2016</v>
      </c>
      <c r="K507" s="22">
        <v>7</v>
      </c>
      <c r="L507" s="22"/>
      <c r="M507" s="22" t="s">
        <v>86</v>
      </c>
      <c r="N507" s="24">
        <v>869.94</v>
      </c>
      <c r="O507" s="22">
        <f>YEAR(B507)</f>
        <v>2023</v>
      </c>
      <c r="P507" s="25">
        <f>DATE(YEAR(B507),MONTH(B507),1)</f>
        <v>45078</v>
      </c>
      <c r="Q507" s="22" t="str">
        <f>IF(N507&gt;Summary!$C$17,"Outlier","")</f>
        <v/>
      </c>
      <c r="R507" s="22" t="str">
        <f>IF(L507="","None",L507)</f>
        <v>None</v>
      </c>
    </row>
    <row r="508" spans="1:18" x14ac:dyDescent="0.2">
      <c r="A508" s="22" t="s">
        <v>2017</v>
      </c>
      <c r="B508" s="23">
        <v>45132</v>
      </c>
      <c r="C508" s="22" t="s">
        <v>2018</v>
      </c>
      <c r="D508" s="22" t="s">
        <v>65</v>
      </c>
      <c r="E508" s="22">
        <v>2</v>
      </c>
      <c r="F508" s="24">
        <v>43.67</v>
      </c>
      <c r="G508" s="22" t="s">
        <v>2019</v>
      </c>
      <c r="H508" s="22" t="s">
        <v>75</v>
      </c>
      <c r="I508" s="22" t="s">
        <v>72</v>
      </c>
      <c r="J508" s="22" t="s">
        <v>2020</v>
      </c>
      <c r="K508" s="22">
        <v>4</v>
      </c>
      <c r="L508" s="22" t="s">
        <v>84</v>
      </c>
      <c r="M508" s="22" t="s">
        <v>89</v>
      </c>
      <c r="N508" s="24">
        <v>87.34</v>
      </c>
      <c r="O508" s="22">
        <f>YEAR(B508)</f>
        <v>2023</v>
      </c>
      <c r="P508" s="25">
        <f>DATE(YEAR(B508),MONTH(B508),1)</f>
        <v>45108</v>
      </c>
      <c r="Q508" s="22" t="str">
        <f>IF(N508&gt;Summary!$C$17,"Outlier","")</f>
        <v/>
      </c>
      <c r="R508" s="22" t="str">
        <f>IF(L508="","None",L508)</f>
        <v>WINTER15</v>
      </c>
    </row>
    <row r="509" spans="1:18" x14ac:dyDescent="0.2">
      <c r="A509" s="22" t="s">
        <v>2021</v>
      </c>
      <c r="B509" s="23">
        <v>45112</v>
      </c>
      <c r="C509" s="22" t="s">
        <v>2022</v>
      </c>
      <c r="D509" s="22" t="s">
        <v>67</v>
      </c>
      <c r="E509" s="22">
        <v>1</v>
      </c>
      <c r="F509" s="24">
        <v>171.59</v>
      </c>
      <c r="G509" s="22" t="s">
        <v>1374</v>
      </c>
      <c r="H509" s="22" t="s">
        <v>76</v>
      </c>
      <c r="I509" s="22" t="s">
        <v>71</v>
      </c>
      <c r="J509" s="22" t="s">
        <v>2023</v>
      </c>
      <c r="K509" s="22">
        <v>5</v>
      </c>
      <c r="L509" s="22" t="s">
        <v>84</v>
      </c>
      <c r="M509" s="22" t="s">
        <v>86</v>
      </c>
      <c r="N509" s="24">
        <v>171.59</v>
      </c>
      <c r="O509" s="22">
        <f>YEAR(B509)</f>
        <v>2023</v>
      </c>
      <c r="P509" s="25">
        <f>DATE(YEAR(B509),MONTH(B509),1)</f>
        <v>45108</v>
      </c>
      <c r="Q509" s="22" t="str">
        <f>IF(N509&gt;Summary!$C$17,"Outlier","")</f>
        <v/>
      </c>
      <c r="R509" s="22" t="str">
        <f>IF(L509="","None",L509)</f>
        <v>WINTER15</v>
      </c>
    </row>
    <row r="510" spans="1:18" x14ac:dyDescent="0.2">
      <c r="A510" s="22" t="s">
        <v>2024</v>
      </c>
      <c r="B510" s="23">
        <v>45791</v>
      </c>
      <c r="C510" s="22" t="s">
        <v>2025</v>
      </c>
      <c r="D510" s="22" t="s">
        <v>67</v>
      </c>
      <c r="E510" s="22">
        <v>1</v>
      </c>
      <c r="F510" s="24">
        <v>558.27</v>
      </c>
      <c r="G510" s="22" t="s">
        <v>2026</v>
      </c>
      <c r="H510" s="22" t="s">
        <v>79</v>
      </c>
      <c r="I510" s="22" t="s">
        <v>69</v>
      </c>
      <c r="J510" s="22" t="s">
        <v>2027</v>
      </c>
      <c r="K510" s="22">
        <v>1</v>
      </c>
      <c r="L510" s="22"/>
      <c r="M510" s="22" t="s">
        <v>90</v>
      </c>
      <c r="N510" s="24">
        <v>558.27</v>
      </c>
      <c r="O510" s="22">
        <f>YEAR(B510)</f>
        <v>2025</v>
      </c>
      <c r="P510" s="25">
        <f>DATE(YEAR(B510),MONTH(B510),1)</f>
        <v>45778</v>
      </c>
      <c r="Q510" s="22" t="str">
        <f>IF(N510&gt;Summary!$C$17,"Outlier","")</f>
        <v/>
      </c>
      <c r="R510" s="22" t="str">
        <f>IF(L510="","None",L510)</f>
        <v>None</v>
      </c>
    </row>
    <row r="511" spans="1:18" x14ac:dyDescent="0.2">
      <c r="A511" s="22" t="s">
        <v>2028</v>
      </c>
      <c r="B511" s="23">
        <v>44972</v>
      </c>
      <c r="C511" s="22" t="s">
        <v>2029</v>
      </c>
      <c r="D511" s="22" t="s">
        <v>63</v>
      </c>
      <c r="E511" s="22">
        <v>2</v>
      </c>
      <c r="F511" s="24">
        <v>425.03</v>
      </c>
      <c r="G511" s="22" t="s">
        <v>2030</v>
      </c>
      <c r="H511" s="22" t="s">
        <v>75</v>
      </c>
      <c r="I511" s="22" t="s">
        <v>72</v>
      </c>
      <c r="J511" s="22" t="s">
        <v>2031</v>
      </c>
      <c r="K511" s="22">
        <v>2</v>
      </c>
      <c r="L511" s="22" t="s">
        <v>84</v>
      </c>
      <c r="M511" s="22" t="s">
        <v>88</v>
      </c>
      <c r="N511" s="24">
        <v>850.06</v>
      </c>
      <c r="O511" s="22">
        <f>YEAR(B511)</f>
        <v>2023</v>
      </c>
      <c r="P511" s="25">
        <f>DATE(YEAR(B511),MONTH(B511),1)</f>
        <v>44958</v>
      </c>
      <c r="Q511" s="22" t="str">
        <f>IF(N511&gt;Summary!$C$17,"Outlier","")</f>
        <v/>
      </c>
      <c r="R511" s="22" t="str">
        <f>IF(L511="","None",L511)</f>
        <v>WINTER15</v>
      </c>
    </row>
    <row r="512" spans="1:18" x14ac:dyDescent="0.2">
      <c r="A512" s="22" t="s">
        <v>2032</v>
      </c>
      <c r="B512" s="23">
        <v>45642</v>
      </c>
      <c r="C512" s="22" t="s">
        <v>2033</v>
      </c>
      <c r="D512" s="22" t="s">
        <v>62</v>
      </c>
      <c r="E512" s="22">
        <v>1</v>
      </c>
      <c r="F512" s="24">
        <v>376.76</v>
      </c>
      <c r="G512" s="22" t="s">
        <v>2034</v>
      </c>
      <c r="H512" s="22" t="s">
        <v>77</v>
      </c>
      <c r="I512" s="22" t="s">
        <v>69</v>
      </c>
      <c r="J512" s="22" t="s">
        <v>2035</v>
      </c>
      <c r="K512" s="22">
        <v>5</v>
      </c>
      <c r="L512" s="22" t="s">
        <v>83</v>
      </c>
      <c r="M512" s="22" t="s">
        <v>86</v>
      </c>
      <c r="N512" s="24">
        <v>376.76</v>
      </c>
      <c r="O512" s="22">
        <f>YEAR(B512)</f>
        <v>2024</v>
      </c>
      <c r="P512" s="25">
        <f>DATE(YEAR(B512),MONTH(B512),1)</f>
        <v>45627</v>
      </c>
      <c r="Q512" s="22" t="str">
        <f>IF(N512&gt;Summary!$C$17,"Outlier","")</f>
        <v/>
      </c>
      <c r="R512" s="22" t="str">
        <f>IF(L512="","None",L512)</f>
        <v>SAVE10</v>
      </c>
    </row>
    <row r="513" spans="1:18" x14ac:dyDescent="0.2">
      <c r="A513" s="22" t="s">
        <v>2036</v>
      </c>
      <c r="B513" s="23">
        <v>45366</v>
      </c>
      <c r="C513" s="22" t="s">
        <v>2037</v>
      </c>
      <c r="D513" s="22" t="s">
        <v>65</v>
      </c>
      <c r="E513" s="22">
        <v>5</v>
      </c>
      <c r="F513" s="24">
        <v>575.24</v>
      </c>
      <c r="G513" s="22" t="s">
        <v>279</v>
      </c>
      <c r="H513" s="22" t="s">
        <v>75</v>
      </c>
      <c r="I513" s="22" t="s">
        <v>69</v>
      </c>
      <c r="J513" s="22" t="s">
        <v>2038</v>
      </c>
      <c r="K513" s="22">
        <v>7</v>
      </c>
      <c r="L513" s="22" t="s">
        <v>84</v>
      </c>
      <c r="M513" s="22" t="s">
        <v>86</v>
      </c>
      <c r="N513" s="24">
        <v>2876.2</v>
      </c>
      <c r="O513" s="22">
        <f>YEAR(B513)</f>
        <v>2024</v>
      </c>
      <c r="P513" s="25">
        <f>DATE(YEAR(B513),MONTH(B513),1)</f>
        <v>45352</v>
      </c>
      <c r="Q513" s="22" t="str">
        <f>IF(N513&gt;Summary!$C$17,"Outlier","")</f>
        <v/>
      </c>
      <c r="R513" s="22" t="str">
        <f>IF(L513="","None",L513)</f>
        <v>WINTER15</v>
      </c>
    </row>
    <row r="514" spans="1:18" x14ac:dyDescent="0.2">
      <c r="A514" s="22" t="s">
        <v>2039</v>
      </c>
      <c r="B514" s="23">
        <v>45562</v>
      </c>
      <c r="C514" s="22" t="s">
        <v>2040</v>
      </c>
      <c r="D514" s="22" t="s">
        <v>66</v>
      </c>
      <c r="E514" s="22">
        <v>3</v>
      </c>
      <c r="F514" s="24">
        <v>568.02</v>
      </c>
      <c r="G514" s="22" t="s">
        <v>1267</v>
      </c>
      <c r="H514" s="22" t="s">
        <v>79</v>
      </c>
      <c r="I514" s="22" t="s">
        <v>71</v>
      </c>
      <c r="J514" s="22" t="s">
        <v>2041</v>
      </c>
      <c r="K514" s="22">
        <v>3</v>
      </c>
      <c r="L514" s="22" t="s">
        <v>82</v>
      </c>
      <c r="M514" s="22" t="s">
        <v>89</v>
      </c>
      <c r="N514" s="24">
        <v>1704.06</v>
      </c>
      <c r="O514" s="22">
        <f>YEAR(B514)</f>
        <v>2024</v>
      </c>
      <c r="P514" s="25">
        <f>DATE(YEAR(B514),MONTH(B514),1)</f>
        <v>45536</v>
      </c>
      <c r="Q514" s="22" t="str">
        <f>IF(N514&gt;Summary!$C$17,"Outlier","")</f>
        <v/>
      </c>
      <c r="R514" s="22" t="str">
        <f>IF(L514="","None",L514)</f>
        <v>FREESHIP</v>
      </c>
    </row>
    <row r="515" spans="1:18" x14ac:dyDescent="0.2">
      <c r="A515" s="22" t="s">
        <v>2042</v>
      </c>
      <c r="B515" s="23">
        <v>45697</v>
      </c>
      <c r="C515" s="22" t="s">
        <v>2043</v>
      </c>
      <c r="D515" s="22" t="s">
        <v>64</v>
      </c>
      <c r="E515" s="22">
        <v>3</v>
      </c>
      <c r="F515" s="24">
        <v>94.88</v>
      </c>
      <c r="G515" s="22" t="s">
        <v>504</v>
      </c>
      <c r="H515" s="22" t="s">
        <v>78</v>
      </c>
      <c r="I515" s="22" t="s">
        <v>70</v>
      </c>
      <c r="J515" s="22" t="s">
        <v>2044</v>
      </c>
      <c r="K515" s="22">
        <v>8</v>
      </c>
      <c r="L515" s="22"/>
      <c r="M515" s="22" t="s">
        <v>90</v>
      </c>
      <c r="N515" s="24">
        <v>284.64</v>
      </c>
      <c r="O515" s="22">
        <f>YEAR(B515)</f>
        <v>2025</v>
      </c>
      <c r="P515" s="25">
        <f>DATE(YEAR(B515),MONTH(B515),1)</f>
        <v>45689</v>
      </c>
      <c r="Q515" s="22" t="str">
        <f>IF(N515&gt;Summary!$C$17,"Outlier","")</f>
        <v/>
      </c>
      <c r="R515" s="22" t="str">
        <f>IF(L515="","None",L515)</f>
        <v>None</v>
      </c>
    </row>
    <row r="516" spans="1:18" x14ac:dyDescent="0.2">
      <c r="A516" s="22" t="s">
        <v>2045</v>
      </c>
      <c r="B516" s="23">
        <v>45032</v>
      </c>
      <c r="C516" s="22" t="s">
        <v>2046</v>
      </c>
      <c r="D516" s="22" t="s">
        <v>62</v>
      </c>
      <c r="E516" s="22">
        <v>3</v>
      </c>
      <c r="F516" s="24">
        <v>304.14999999999998</v>
      </c>
      <c r="G516" s="22" t="s">
        <v>1829</v>
      </c>
      <c r="H516" s="22" t="s">
        <v>78</v>
      </c>
      <c r="I516" s="22" t="s">
        <v>70</v>
      </c>
      <c r="J516" s="22" t="s">
        <v>2047</v>
      </c>
      <c r="K516" s="22">
        <v>3</v>
      </c>
      <c r="L516" s="22" t="s">
        <v>84</v>
      </c>
      <c r="M516" s="22" t="s">
        <v>89</v>
      </c>
      <c r="N516" s="24">
        <v>912.45</v>
      </c>
      <c r="O516" s="22">
        <f>YEAR(B516)</f>
        <v>2023</v>
      </c>
      <c r="P516" s="25">
        <f>DATE(YEAR(B516),MONTH(B516),1)</f>
        <v>45017</v>
      </c>
      <c r="Q516" s="22" t="str">
        <f>IF(N516&gt;Summary!$C$17,"Outlier","")</f>
        <v/>
      </c>
      <c r="R516" s="22" t="str">
        <f>IF(L516="","None",L516)</f>
        <v>WINTER15</v>
      </c>
    </row>
    <row r="517" spans="1:18" x14ac:dyDescent="0.2">
      <c r="A517" s="22" t="s">
        <v>2048</v>
      </c>
      <c r="B517" s="23">
        <v>44999</v>
      </c>
      <c r="C517" s="22" t="s">
        <v>2049</v>
      </c>
      <c r="D517" s="22" t="s">
        <v>67</v>
      </c>
      <c r="E517" s="22">
        <v>3</v>
      </c>
      <c r="F517" s="24">
        <v>553.52</v>
      </c>
      <c r="G517" s="22" t="s">
        <v>1818</v>
      </c>
      <c r="H517" s="22" t="s">
        <v>78</v>
      </c>
      <c r="I517" s="22" t="s">
        <v>70</v>
      </c>
      <c r="J517" s="22" t="s">
        <v>2050</v>
      </c>
      <c r="K517" s="22">
        <v>4</v>
      </c>
      <c r="L517" s="22" t="s">
        <v>82</v>
      </c>
      <c r="M517" s="22" t="s">
        <v>87</v>
      </c>
      <c r="N517" s="24">
        <v>1660.56</v>
      </c>
      <c r="O517" s="22">
        <f>YEAR(B517)</f>
        <v>2023</v>
      </c>
      <c r="P517" s="25">
        <f>DATE(YEAR(B517),MONTH(B517),1)</f>
        <v>44986</v>
      </c>
      <c r="Q517" s="22" t="str">
        <f>IF(N517&gt;Summary!$C$17,"Outlier","")</f>
        <v/>
      </c>
      <c r="R517" s="22" t="str">
        <f>IF(L517="","None",L517)</f>
        <v>FREESHIP</v>
      </c>
    </row>
    <row r="518" spans="1:18" x14ac:dyDescent="0.2">
      <c r="A518" s="22" t="s">
        <v>2051</v>
      </c>
      <c r="B518" s="23">
        <v>45389</v>
      </c>
      <c r="C518" s="22" t="s">
        <v>2052</v>
      </c>
      <c r="D518" s="22" t="s">
        <v>65</v>
      </c>
      <c r="E518" s="22">
        <v>3</v>
      </c>
      <c r="F518" s="24">
        <v>166.99</v>
      </c>
      <c r="G518" s="22" t="s">
        <v>1249</v>
      </c>
      <c r="H518" s="22" t="s">
        <v>75</v>
      </c>
      <c r="I518" s="22" t="s">
        <v>72</v>
      </c>
      <c r="J518" s="22" t="s">
        <v>2053</v>
      </c>
      <c r="K518" s="22">
        <v>8</v>
      </c>
      <c r="L518" s="22"/>
      <c r="M518" s="22" t="s">
        <v>87</v>
      </c>
      <c r="N518" s="24">
        <v>500.97</v>
      </c>
      <c r="O518" s="22">
        <f>YEAR(B518)</f>
        <v>2024</v>
      </c>
      <c r="P518" s="25">
        <f>DATE(YEAR(B518),MONTH(B518),1)</f>
        <v>45383</v>
      </c>
      <c r="Q518" s="22" t="str">
        <f>IF(N518&gt;Summary!$C$17,"Outlier","")</f>
        <v/>
      </c>
      <c r="R518" s="22" t="str">
        <f>IF(L518="","None",L518)</f>
        <v>None</v>
      </c>
    </row>
    <row r="519" spans="1:18" x14ac:dyDescent="0.2">
      <c r="A519" s="22" t="s">
        <v>2054</v>
      </c>
      <c r="B519" s="23">
        <v>45391</v>
      </c>
      <c r="C519" s="22" t="s">
        <v>2055</v>
      </c>
      <c r="D519" s="22" t="s">
        <v>64</v>
      </c>
      <c r="E519" s="22">
        <v>4</v>
      </c>
      <c r="F519" s="24">
        <v>198.35</v>
      </c>
      <c r="G519" s="22" t="s">
        <v>1923</v>
      </c>
      <c r="H519" s="22" t="s">
        <v>75</v>
      </c>
      <c r="I519" s="22" t="s">
        <v>73</v>
      </c>
      <c r="J519" s="22" t="s">
        <v>2056</v>
      </c>
      <c r="K519" s="22">
        <v>7</v>
      </c>
      <c r="L519" s="22" t="s">
        <v>82</v>
      </c>
      <c r="M519" s="22" t="s">
        <v>88</v>
      </c>
      <c r="N519" s="24">
        <v>793.4</v>
      </c>
      <c r="O519" s="22">
        <f>YEAR(B519)</f>
        <v>2024</v>
      </c>
      <c r="P519" s="25">
        <f>DATE(YEAR(B519),MONTH(B519),1)</f>
        <v>45383</v>
      </c>
      <c r="Q519" s="22" t="str">
        <f>IF(N519&gt;Summary!$C$17,"Outlier","")</f>
        <v/>
      </c>
      <c r="R519" s="22" t="str">
        <f>IF(L519="","None",L519)</f>
        <v>FREESHIP</v>
      </c>
    </row>
    <row r="520" spans="1:18" x14ac:dyDescent="0.2">
      <c r="A520" s="22" t="s">
        <v>2057</v>
      </c>
      <c r="B520" s="23">
        <v>45821</v>
      </c>
      <c r="C520" s="22" t="s">
        <v>2058</v>
      </c>
      <c r="D520" s="22" t="s">
        <v>62</v>
      </c>
      <c r="E520" s="22">
        <v>4</v>
      </c>
      <c r="F520" s="24">
        <v>403.58</v>
      </c>
      <c r="G520" s="22" t="s">
        <v>1635</v>
      </c>
      <c r="H520" s="22" t="s">
        <v>79</v>
      </c>
      <c r="I520" s="22" t="s">
        <v>71</v>
      </c>
      <c r="J520" s="22" t="s">
        <v>2059</v>
      </c>
      <c r="K520" s="22">
        <v>9</v>
      </c>
      <c r="L520" s="22" t="s">
        <v>83</v>
      </c>
      <c r="M520" s="22" t="s">
        <v>90</v>
      </c>
      <c r="N520" s="24">
        <v>1614.32</v>
      </c>
      <c r="O520" s="22">
        <f>YEAR(B520)</f>
        <v>2025</v>
      </c>
      <c r="P520" s="25">
        <f>DATE(YEAR(B520),MONTH(B520),1)</f>
        <v>45809</v>
      </c>
      <c r="Q520" s="22" t="str">
        <f>IF(N520&gt;Summary!$C$17,"Outlier","")</f>
        <v/>
      </c>
      <c r="R520" s="22" t="str">
        <f>IF(L520="","None",L520)</f>
        <v>SAVE10</v>
      </c>
    </row>
    <row r="521" spans="1:18" x14ac:dyDescent="0.2">
      <c r="A521" s="22" t="s">
        <v>2060</v>
      </c>
      <c r="B521" s="23">
        <v>45787</v>
      </c>
      <c r="C521" s="22" t="s">
        <v>2061</v>
      </c>
      <c r="D521" s="22" t="s">
        <v>63</v>
      </c>
      <c r="E521" s="22">
        <v>4</v>
      </c>
      <c r="F521" s="24">
        <v>464.29</v>
      </c>
      <c r="G521" s="22" t="s">
        <v>2062</v>
      </c>
      <c r="H521" s="22" t="s">
        <v>77</v>
      </c>
      <c r="I521" s="22" t="s">
        <v>72</v>
      </c>
      <c r="J521" s="22" t="s">
        <v>2063</v>
      </c>
      <c r="K521" s="22">
        <v>5</v>
      </c>
      <c r="L521" s="22" t="s">
        <v>83</v>
      </c>
      <c r="M521" s="22" t="s">
        <v>86</v>
      </c>
      <c r="N521" s="24">
        <v>1857.16</v>
      </c>
      <c r="O521" s="22">
        <f>YEAR(B521)</f>
        <v>2025</v>
      </c>
      <c r="P521" s="25">
        <f>DATE(YEAR(B521),MONTH(B521),1)</f>
        <v>45778</v>
      </c>
      <c r="Q521" s="22" t="str">
        <f>IF(N521&gt;Summary!$C$17,"Outlier","")</f>
        <v/>
      </c>
      <c r="R521" s="22" t="str">
        <f>IF(L521="","None",L521)</f>
        <v>SAVE10</v>
      </c>
    </row>
    <row r="522" spans="1:18" x14ac:dyDescent="0.2">
      <c r="A522" s="22" t="s">
        <v>2064</v>
      </c>
      <c r="B522" s="23">
        <v>44995</v>
      </c>
      <c r="C522" s="22" t="s">
        <v>2065</v>
      </c>
      <c r="D522" s="22" t="s">
        <v>65</v>
      </c>
      <c r="E522" s="22">
        <v>3</v>
      </c>
      <c r="F522" s="24">
        <v>635.98</v>
      </c>
      <c r="G522" s="22" t="s">
        <v>2066</v>
      </c>
      <c r="H522" s="22" t="s">
        <v>75</v>
      </c>
      <c r="I522" s="22" t="s">
        <v>72</v>
      </c>
      <c r="J522" s="22" t="s">
        <v>2067</v>
      </c>
      <c r="K522" s="22">
        <v>5</v>
      </c>
      <c r="L522" s="22"/>
      <c r="M522" s="22" t="s">
        <v>90</v>
      </c>
      <c r="N522" s="24">
        <v>1907.94</v>
      </c>
      <c r="O522" s="22">
        <f>YEAR(B522)</f>
        <v>2023</v>
      </c>
      <c r="P522" s="25">
        <f>DATE(YEAR(B522),MONTH(B522),1)</f>
        <v>44986</v>
      </c>
      <c r="Q522" s="22" t="str">
        <f>IF(N522&gt;Summary!$C$17,"Outlier","")</f>
        <v/>
      </c>
      <c r="R522" s="22" t="str">
        <f>IF(L522="","None",L522)</f>
        <v>None</v>
      </c>
    </row>
    <row r="523" spans="1:18" x14ac:dyDescent="0.2">
      <c r="A523" s="22" t="s">
        <v>2068</v>
      </c>
      <c r="B523" s="23">
        <v>45347</v>
      </c>
      <c r="C523" s="22" t="s">
        <v>2069</v>
      </c>
      <c r="D523" s="22" t="s">
        <v>67</v>
      </c>
      <c r="E523" s="22">
        <v>1</v>
      </c>
      <c r="F523" s="24">
        <v>528.05999999999995</v>
      </c>
      <c r="G523" s="22" t="s">
        <v>2070</v>
      </c>
      <c r="H523" s="22" t="s">
        <v>76</v>
      </c>
      <c r="I523" s="22" t="s">
        <v>70</v>
      </c>
      <c r="J523" s="22" t="s">
        <v>2071</v>
      </c>
      <c r="K523" s="22">
        <v>2</v>
      </c>
      <c r="L523" s="22"/>
      <c r="M523" s="22" t="s">
        <v>87</v>
      </c>
      <c r="N523" s="24">
        <v>528.05999999999995</v>
      </c>
      <c r="O523" s="22">
        <f>YEAR(B523)</f>
        <v>2024</v>
      </c>
      <c r="P523" s="25">
        <f>DATE(YEAR(B523),MONTH(B523),1)</f>
        <v>45323</v>
      </c>
      <c r="Q523" s="22" t="str">
        <f>IF(N523&gt;Summary!$C$17,"Outlier","")</f>
        <v/>
      </c>
      <c r="R523" s="22" t="str">
        <f>IF(L523="","None",L523)</f>
        <v>None</v>
      </c>
    </row>
    <row r="524" spans="1:18" x14ac:dyDescent="0.2">
      <c r="A524" s="22" t="s">
        <v>2072</v>
      </c>
      <c r="B524" s="23">
        <v>45402</v>
      </c>
      <c r="C524" s="22" t="s">
        <v>2073</v>
      </c>
      <c r="D524" s="22" t="s">
        <v>61</v>
      </c>
      <c r="E524" s="22">
        <v>1</v>
      </c>
      <c r="F524" s="24">
        <v>515.32000000000005</v>
      </c>
      <c r="G524" s="22" t="s">
        <v>1198</v>
      </c>
      <c r="H524" s="22" t="s">
        <v>78</v>
      </c>
      <c r="I524" s="22" t="s">
        <v>73</v>
      </c>
      <c r="J524" s="22" t="s">
        <v>2074</v>
      </c>
      <c r="K524" s="22">
        <v>1</v>
      </c>
      <c r="L524" s="22" t="s">
        <v>82</v>
      </c>
      <c r="M524" s="22" t="s">
        <v>86</v>
      </c>
      <c r="N524" s="24">
        <v>515.32000000000005</v>
      </c>
      <c r="O524" s="22">
        <f>YEAR(B524)</f>
        <v>2024</v>
      </c>
      <c r="P524" s="25">
        <f>DATE(YEAR(B524),MONTH(B524),1)</f>
        <v>45383</v>
      </c>
      <c r="Q524" s="22" t="str">
        <f>IF(N524&gt;Summary!$C$17,"Outlier","")</f>
        <v/>
      </c>
      <c r="R524" s="22" t="str">
        <f>IF(L524="","None",L524)</f>
        <v>FREESHIP</v>
      </c>
    </row>
    <row r="525" spans="1:18" x14ac:dyDescent="0.2">
      <c r="A525" s="22" t="s">
        <v>2075</v>
      </c>
      <c r="B525" s="23">
        <v>45706</v>
      </c>
      <c r="C525" s="22" t="s">
        <v>2076</v>
      </c>
      <c r="D525" s="22" t="s">
        <v>66</v>
      </c>
      <c r="E525" s="22">
        <v>4</v>
      </c>
      <c r="F525" s="24">
        <v>657.79</v>
      </c>
      <c r="G525" s="22" t="s">
        <v>1695</v>
      </c>
      <c r="H525" s="22" t="s">
        <v>76</v>
      </c>
      <c r="I525" s="22" t="s">
        <v>72</v>
      </c>
      <c r="J525" s="22" t="s">
        <v>2077</v>
      </c>
      <c r="K525" s="22">
        <v>6</v>
      </c>
      <c r="L525" s="22" t="s">
        <v>84</v>
      </c>
      <c r="M525" s="22" t="s">
        <v>88</v>
      </c>
      <c r="N525" s="24">
        <v>2631.16</v>
      </c>
      <c r="O525" s="22">
        <f>YEAR(B525)</f>
        <v>2025</v>
      </c>
      <c r="P525" s="25">
        <f>DATE(YEAR(B525),MONTH(B525),1)</f>
        <v>45689</v>
      </c>
      <c r="Q525" s="22" t="str">
        <f>IF(N525&gt;Summary!$C$17,"Outlier","")</f>
        <v/>
      </c>
      <c r="R525" s="22" t="str">
        <f>IF(L525="","None",L525)</f>
        <v>WINTER15</v>
      </c>
    </row>
    <row r="526" spans="1:18" x14ac:dyDescent="0.2">
      <c r="A526" s="22" t="s">
        <v>2078</v>
      </c>
      <c r="B526" s="23">
        <v>45224</v>
      </c>
      <c r="C526" s="22" t="s">
        <v>2079</v>
      </c>
      <c r="D526" s="22" t="s">
        <v>67</v>
      </c>
      <c r="E526" s="22">
        <v>1</v>
      </c>
      <c r="F526" s="24">
        <v>153</v>
      </c>
      <c r="G526" s="22" t="s">
        <v>429</v>
      </c>
      <c r="H526" s="22" t="s">
        <v>76</v>
      </c>
      <c r="I526" s="22" t="s">
        <v>72</v>
      </c>
      <c r="J526" s="22" t="s">
        <v>2080</v>
      </c>
      <c r="K526" s="22">
        <v>4</v>
      </c>
      <c r="L526" s="22"/>
      <c r="M526" s="22" t="s">
        <v>90</v>
      </c>
      <c r="N526" s="24">
        <v>153</v>
      </c>
      <c r="O526" s="22">
        <f>YEAR(B526)</f>
        <v>2023</v>
      </c>
      <c r="P526" s="25">
        <f>DATE(YEAR(B526),MONTH(B526),1)</f>
        <v>45200</v>
      </c>
      <c r="Q526" s="22" t="str">
        <f>IF(N526&gt;Summary!$C$17,"Outlier","")</f>
        <v/>
      </c>
      <c r="R526" s="22" t="str">
        <f>IF(L526="","None",L526)</f>
        <v>None</v>
      </c>
    </row>
    <row r="527" spans="1:18" x14ac:dyDescent="0.2">
      <c r="A527" s="22" t="s">
        <v>2081</v>
      </c>
      <c r="B527" s="23">
        <v>45263</v>
      </c>
      <c r="C527" s="22" t="s">
        <v>2082</v>
      </c>
      <c r="D527" s="22" t="s">
        <v>65</v>
      </c>
      <c r="E527" s="22">
        <v>1</v>
      </c>
      <c r="F527" s="24">
        <v>668.48</v>
      </c>
      <c r="G527" s="22" t="s">
        <v>1818</v>
      </c>
      <c r="H527" s="22" t="s">
        <v>77</v>
      </c>
      <c r="I527" s="22" t="s">
        <v>70</v>
      </c>
      <c r="J527" s="22" t="s">
        <v>2083</v>
      </c>
      <c r="K527" s="22">
        <v>1</v>
      </c>
      <c r="L527" s="22" t="s">
        <v>83</v>
      </c>
      <c r="M527" s="22" t="s">
        <v>86</v>
      </c>
      <c r="N527" s="24">
        <v>668.48</v>
      </c>
      <c r="O527" s="22">
        <f>YEAR(B527)</f>
        <v>2023</v>
      </c>
      <c r="P527" s="25">
        <f>DATE(YEAR(B527),MONTH(B527),1)</f>
        <v>45261</v>
      </c>
      <c r="Q527" s="22" t="str">
        <f>IF(N527&gt;Summary!$C$17,"Outlier","")</f>
        <v/>
      </c>
      <c r="R527" s="22" t="str">
        <f>IF(L527="","None",L527)</f>
        <v>SAVE10</v>
      </c>
    </row>
    <row r="528" spans="1:18" x14ac:dyDescent="0.2">
      <c r="A528" s="22" t="s">
        <v>2084</v>
      </c>
      <c r="B528" s="23">
        <v>45351</v>
      </c>
      <c r="C528" s="22" t="s">
        <v>2085</v>
      </c>
      <c r="D528" s="22" t="s">
        <v>66</v>
      </c>
      <c r="E528" s="22">
        <v>2</v>
      </c>
      <c r="F528" s="24">
        <v>46.5</v>
      </c>
      <c r="G528" s="22" t="s">
        <v>485</v>
      </c>
      <c r="H528" s="22" t="s">
        <v>75</v>
      </c>
      <c r="I528" s="22" t="s">
        <v>72</v>
      </c>
      <c r="J528" s="22" t="s">
        <v>2086</v>
      </c>
      <c r="K528" s="22">
        <v>7</v>
      </c>
      <c r="L528" s="22" t="s">
        <v>84</v>
      </c>
      <c r="M528" s="22" t="s">
        <v>88</v>
      </c>
      <c r="N528" s="24">
        <v>93</v>
      </c>
      <c r="O528" s="22">
        <f>YEAR(B528)</f>
        <v>2024</v>
      </c>
      <c r="P528" s="25">
        <f>DATE(YEAR(B528),MONTH(B528),1)</f>
        <v>45323</v>
      </c>
      <c r="Q528" s="22" t="str">
        <f>IF(N528&gt;Summary!$C$17,"Outlier","")</f>
        <v/>
      </c>
      <c r="R528" s="22" t="str">
        <f>IF(L528="","None",L528)</f>
        <v>WINTER15</v>
      </c>
    </row>
    <row r="529" spans="1:18" x14ac:dyDescent="0.2">
      <c r="A529" s="22" t="s">
        <v>2087</v>
      </c>
      <c r="B529" s="23">
        <v>45523</v>
      </c>
      <c r="C529" s="22" t="s">
        <v>2088</v>
      </c>
      <c r="D529" s="22" t="s">
        <v>61</v>
      </c>
      <c r="E529" s="22">
        <v>5</v>
      </c>
      <c r="F529" s="24">
        <v>653.47</v>
      </c>
      <c r="G529" s="22" t="s">
        <v>449</v>
      </c>
      <c r="H529" s="22" t="s">
        <v>76</v>
      </c>
      <c r="I529" s="22" t="s">
        <v>73</v>
      </c>
      <c r="J529" s="22" t="s">
        <v>2089</v>
      </c>
      <c r="K529" s="22">
        <v>10</v>
      </c>
      <c r="L529" s="22" t="s">
        <v>83</v>
      </c>
      <c r="M529" s="22" t="s">
        <v>90</v>
      </c>
      <c r="N529" s="24">
        <v>3267.35</v>
      </c>
      <c r="O529" s="22">
        <f>YEAR(B529)</f>
        <v>2024</v>
      </c>
      <c r="P529" s="25">
        <f>DATE(YEAR(B529),MONTH(B529),1)</f>
        <v>45505</v>
      </c>
      <c r="Q529" s="22" t="str">
        <f>IF(N529&gt;Summary!$C$17,"Outlier","")</f>
        <v/>
      </c>
      <c r="R529" s="22" t="str">
        <f>IF(L529="","None",L529)</f>
        <v>SAVE10</v>
      </c>
    </row>
    <row r="530" spans="1:18" x14ac:dyDescent="0.2">
      <c r="A530" s="22" t="s">
        <v>2090</v>
      </c>
      <c r="B530" s="23">
        <v>45714</v>
      </c>
      <c r="C530" s="22" t="s">
        <v>2091</v>
      </c>
      <c r="D530" s="22" t="s">
        <v>61</v>
      </c>
      <c r="E530" s="22">
        <v>1</v>
      </c>
      <c r="F530" s="24">
        <v>628.89</v>
      </c>
      <c r="G530" s="22" t="s">
        <v>1833</v>
      </c>
      <c r="H530" s="22" t="s">
        <v>76</v>
      </c>
      <c r="I530" s="22" t="s">
        <v>72</v>
      </c>
      <c r="J530" s="22" t="s">
        <v>2092</v>
      </c>
      <c r="K530" s="22">
        <v>2</v>
      </c>
      <c r="L530" s="22" t="s">
        <v>83</v>
      </c>
      <c r="M530" s="22" t="s">
        <v>90</v>
      </c>
      <c r="N530" s="24">
        <v>628.89</v>
      </c>
      <c r="O530" s="22">
        <f>YEAR(B530)</f>
        <v>2025</v>
      </c>
      <c r="P530" s="25">
        <f>DATE(YEAR(B530),MONTH(B530),1)</f>
        <v>45689</v>
      </c>
      <c r="Q530" s="22" t="str">
        <f>IF(N530&gt;Summary!$C$17,"Outlier","")</f>
        <v/>
      </c>
      <c r="R530" s="22" t="str">
        <f>IF(L530="","None",L530)</f>
        <v>SAVE10</v>
      </c>
    </row>
    <row r="531" spans="1:18" x14ac:dyDescent="0.2">
      <c r="A531" s="22" t="s">
        <v>2093</v>
      </c>
      <c r="B531" s="23">
        <v>45389</v>
      </c>
      <c r="C531" s="22" t="s">
        <v>2094</v>
      </c>
      <c r="D531" s="22" t="s">
        <v>64</v>
      </c>
      <c r="E531" s="22">
        <v>2</v>
      </c>
      <c r="F531" s="24">
        <v>675.1</v>
      </c>
      <c r="G531" s="22" t="s">
        <v>2095</v>
      </c>
      <c r="H531" s="22" t="s">
        <v>75</v>
      </c>
      <c r="I531" s="22" t="s">
        <v>71</v>
      </c>
      <c r="J531" s="22" t="s">
        <v>2096</v>
      </c>
      <c r="K531" s="22">
        <v>4</v>
      </c>
      <c r="L531" s="22" t="s">
        <v>82</v>
      </c>
      <c r="M531" s="22" t="s">
        <v>88</v>
      </c>
      <c r="N531" s="24">
        <v>1350.2</v>
      </c>
      <c r="O531" s="22">
        <f>YEAR(B531)</f>
        <v>2024</v>
      </c>
      <c r="P531" s="25">
        <f>DATE(YEAR(B531),MONTH(B531),1)</f>
        <v>45383</v>
      </c>
      <c r="Q531" s="22" t="str">
        <f>IF(N531&gt;Summary!$C$17,"Outlier","")</f>
        <v/>
      </c>
      <c r="R531" s="22" t="str">
        <f>IF(L531="","None",L531)</f>
        <v>FREESHIP</v>
      </c>
    </row>
    <row r="532" spans="1:18" x14ac:dyDescent="0.2">
      <c r="A532" s="22" t="s">
        <v>2097</v>
      </c>
      <c r="B532" s="23">
        <v>45491</v>
      </c>
      <c r="C532" s="22" t="s">
        <v>2098</v>
      </c>
      <c r="D532" s="22" t="s">
        <v>61</v>
      </c>
      <c r="E532" s="22">
        <v>4</v>
      </c>
      <c r="F532" s="24">
        <v>89.41</v>
      </c>
      <c r="G532" s="22" t="s">
        <v>2099</v>
      </c>
      <c r="H532" s="22" t="s">
        <v>79</v>
      </c>
      <c r="I532" s="22" t="s">
        <v>71</v>
      </c>
      <c r="J532" s="22" t="s">
        <v>2100</v>
      </c>
      <c r="K532" s="22">
        <v>9</v>
      </c>
      <c r="L532" s="22"/>
      <c r="M532" s="22" t="s">
        <v>88</v>
      </c>
      <c r="N532" s="24">
        <v>357.64</v>
      </c>
      <c r="O532" s="22">
        <f>YEAR(B532)</f>
        <v>2024</v>
      </c>
      <c r="P532" s="25">
        <f>DATE(YEAR(B532),MONTH(B532),1)</f>
        <v>45474</v>
      </c>
      <c r="Q532" s="22" t="str">
        <f>IF(N532&gt;Summary!$C$17,"Outlier","")</f>
        <v/>
      </c>
      <c r="R532" s="22" t="str">
        <f>IF(L532="","None",L532)</f>
        <v>None</v>
      </c>
    </row>
    <row r="533" spans="1:18" x14ac:dyDescent="0.2">
      <c r="A533" s="22" t="s">
        <v>2101</v>
      </c>
      <c r="B533" s="23">
        <v>45475</v>
      </c>
      <c r="C533" s="22" t="s">
        <v>2102</v>
      </c>
      <c r="D533" s="22" t="s">
        <v>66</v>
      </c>
      <c r="E533" s="22">
        <v>5</v>
      </c>
      <c r="F533" s="24">
        <v>320.01</v>
      </c>
      <c r="G533" s="22" t="s">
        <v>2103</v>
      </c>
      <c r="H533" s="22" t="s">
        <v>78</v>
      </c>
      <c r="I533" s="22" t="s">
        <v>69</v>
      </c>
      <c r="J533" s="22" t="s">
        <v>2104</v>
      </c>
      <c r="K533" s="22">
        <v>6</v>
      </c>
      <c r="L533" s="22"/>
      <c r="M533" s="22" t="s">
        <v>90</v>
      </c>
      <c r="N533" s="24">
        <v>1600.05</v>
      </c>
      <c r="O533" s="22">
        <f>YEAR(B533)</f>
        <v>2024</v>
      </c>
      <c r="P533" s="25">
        <f>DATE(YEAR(B533),MONTH(B533),1)</f>
        <v>45474</v>
      </c>
      <c r="Q533" s="22" t="str">
        <f>IF(N533&gt;Summary!$C$17,"Outlier","")</f>
        <v/>
      </c>
      <c r="R533" s="22" t="str">
        <f>IF(L533="","None",L533)</f>
        <v>None</v>
      </c>
    </row>
    <row r="534" spans="1:18" x14ac:dyDescent="0.2">
      <c r="A534" s="22" t="s">
        <v>2105</v>
      </c>
      <c r="B534" s="23">
        <v>45780</v>
      </c>
      <c r="C534" s="22" t="s">
        <v>2106</v>
      </c>
      <c r="D534" s="22" t="s">
        <v>63</v>
      </c>
      <c r="E534" s="22">
        <v>2</v>
      </c>
      <c r="F534" s="24">
        <v>41</v>
      </c>
      <c r="G534" s="22" t="s">
        <v>2107</v>
      </c>
      <c r="H534" s="22" t="s">
        <v>79</v>
      </c>
      <c r="I534" s="22" t="s">
        <v>69</v>
      </c>
      <c r="J534" s="22" t="s">
        <v>2108</v>
      </c>
      <c r="K534" s="22">
        <v>7</v>
      </c>
      <c r="L534" s="22"/>
      <c r="M534" s="22" t="s">
        <v>86</v>
      </c>
      <c r="N534" s="24">
        <v>82</v>
      </c>
      <c r="O534" s="22">
        <f>YEAR(B534)</f>
        <v>2025</v>
      </c>
      <c r="P534" s="25">
        <f>DATE(YEAR(B534),MONTH(B534),1)</f>
        <v>45778</v>
      </c>
      <c r="Q534" s="22" t="str">
        <f>IF(N534&gt;Summary!$C$17,"Outlier","")</f>
        <v/>
      </c>
      <c r="R534" s="22" t="str">
        <f>IF(L534="","None",L534)</f>
        <v>None</v>
      </c>
    </row>
    <row r="535" spans="1:18" x14ac:dyDescent="0.2">
      <c r="A535" s="22" t="s">
        <v>2109</v>
      </c>
      <c r="B535" s="23">
        <v>44990</v>
      </c>
      <c r="C535" s="22" t="s">
        <v>2110</v>
      </c>
      <c r="D535" s="22" t="s">
        <v>66</v>
      </c>
      <c r="E535" s="22">
        <v>1</v>
      </c>
      <c r="F535" s="24">
        <v>565.85</v>
      </c>
      <c r="G535" s="22" t="s">
        <v>379</v>
      </c>
      <c r="H535" s="22" t="s">
        <v>78</v>
      </c>
      <c r="I535" s="22" t="s">
        <v>72</v>
      </c>
      <c r="J535" s="22" t="s">
        <v>2111</v>
      </c>
      <c r="K535" s="22">
        <v>1</v>
      </c>
      <c r="L535" s="22" t="s">
        <v>82</v>
      </c>
      <c r="M535" s="22" t="s">
        <v>87</v>
      </c>
      <c r="N535" s="24">
        <v>565.85</v>
      </c>
      <c r="O535" s="22">
        <f>YEAR(B535)</f>
        <v>2023</v>
      </c>
      <c r="P535" s="25">
        <f>DATE(YEAR(B535),MONTH(B535),1)</f>
        <v>44986</v>
      </c>
      <c r="Q535" s="22" t="str">
        <f>IF(N535&gt;Summary!$C$17,"Outlier","")</f>
        <v/>
      </c>
      <c r="R535" s="22" t="str">
        <f>IF(L535="","None",L535)</f>
        <v>FREESHIP</v>
      </c>
    </row>
    <row r="536" spans="1:18" x14ac:dyDescent="0.2">
      <c r="A536" s="22" t="s">
        <v>2112</v>
      </c>
      <c r="B536" s="23">
        <v>45449</v>
      </c>
      <c r="C536" s="22" t="s">
        <v>2113</v>
      </c>
      <c r="D536" s="22" t="s">
        <v>61</v>
      </c>
      <c r="E536" s="22">
        <v>3</v>
      </c>
      <c r="F536" s="24">
        <v>648.59</v>
      </c>
      <c r="G536" s="22" t="s">
        <v>2114</v>
      </c>
      <c r="H536" s="22" t="s">
        <v>77</v>
      </c>
      <c r="I536" s="22" t="s">
        <v>73</v>
      </c>
      <c r="J536" s="22" t="s">
        <v>2115</v>
      </c>
      <c r="K536" s="22">
        <v>4</v>
      </c>
      <c r="L536" s="22" t="s">
        <v>83</v>
      </c>
      <c r="M536" s="22" t="s">
        <v>86</v>
      </c>
      <c r="N536" s="24">
        <v>1945.77</v>
      </c>
      <c r="O536" s="22">
        <f>YEAR(B536)</f>
        <v>2024</v>
      </c>
      <c r="P536" s="25">
        <f>DATE(YEAR(B536),MONTH(B536),1)</f>
        <v>45444</v>
      </c>
      <c r="Q536" s="22" t="str">
        <f>IF(N536&gt;Summary!$C$17,"Outlier","")</f>
        <v/>
      </c>
      <c r="R536" s="22" t="str">
        <f>IF(L536="","None",L536)</f>
        <v>SAVE10</v>
      </c>
    </row>
    <row r="537" spans="1:18" x14ac:dyDescent="0.2">
      <c r="A537" s="22" t="s">
        <v>2116</v>
      </c>
      <c r="B537" s="23">
        <v>45497</v>
      </c>
      <c r="C537" s="22" t="s">
        <v>2117</v>
      </c>
      <c r="D537" s="22" t="s">
        <v>65</v>
      </c>
      <c r="E537" s="22">
        <v>3</v>
      </c>
      <c r="F537" s="24">
        <v>68.12</v>
      </c>
      <c r="G537" s="22" t="s">
        <v>800</v>
      </c>
      <c r="H537" s="22" t="s">
        <v>79</v>
      </c>
      <c r="I537" s="22" t="s">
        <v>73</v>
      </c>
      <c r="J537" s="22" t="s">
        <v>2118</v>
      </c>
      <c r="K537" s="22">
        <v>3</v>
      </c>
      <c r="L537" s="22" t="s">
        <v>82</v>
      </c>
      <c r="M537" s="22" t="s">
        <v>86</v>
      </c>
      <c r="N537" s="24">
        <v>204.36</v>
      </c>
      <c r="O537" s="22">
        <f>YEAR(B537)</f>
        <v>2024</v>
      </c>
      <c r="P537" s="25">
        <f>DATE(YEAR(B537),MONTH(B537),1)</f>
        <v>45474</v>
      </c>
      <c r="Q537" s="22" t="str">
        <f>IF(N537&gt;Summary!$C$17,"Outlier","")</f>
        <v/>
      </c>
      <c r="R537" s="22" t="str">
        <f>IF(L537="","None",L537)</f>
        <v>FREESHIP</v>
      </c>
    </row>
    <row r="538" spans="1:18" x14ac:dyDescent="0.2">
      <c r="A538" s="22" t="s">
        <v>2119</v>
      </c>
      <c r="B538" s="23">
        <v>45452</v>
      </c>
      <c r="C538" s="22" t="s">
        <v>2120</v>
      </c>
      <c r="D538" s="22" t="s">
        <v>61</v>
      </c>
      <c r="E538" s="22">
        <v>1</v>
      </c>
      <c r="F538" s="24">
        <v>616.1</v>
      </c>
      <c r="G538" s="22" t="s">
        <v>2121</v>
      </c>
      <c r="H538" s="22" t="s">
        <v>75</v>
      </c>
      <c r="I538" s="22" t="s">
        <v>72</v>
      </c>
      <c r="J538" s="22" t="s">
        <v>2122</v>
      </c>
      <c r="K538" s="22">
        <v>6</v>
      </c>
      <c r="L538" s="22"/>
      <c r="M538" s="22" t="s">
        <v>86</v>
      </c>
      <c r="N538" s="24">
        <v>616.1</v>
      </c>
      <c r="O538" s="22">
        <f>YEAR(B538)</f>
        <v>2024</v>
      </c>
      <c r="P538" s="25">
        <f>DATE(YEAR(B538),MONTH(B538),1)</f>
        <v>45444</v>
      </c>
      <c r="Q538" s="22" t="str">
        <f>IF(N538&gt;Summary!$C$17,"Outlier","")</f>
        <v/>
      </c>
      <c r="R538" s="22" t="str">
        <f>IF(L538="","None",L538)</f>
        <v>None</v>
      </c>
    </row>
    <row r="539" spans="1:18" x14ac:dyDescent="0.2">
      <c r="A539" s="22" t="s">
        <v>2123</v>
      </c>
      <c r="B539" s="23">
        <v>45739</v>
      </c>
      <c r="C539" s="22" t="s">
        <v>2124</v>
      </c>
      <c r="D539" s="22" t="s">
        <v>64</v>
      </c>
      <c r="E539" s="22">
        <v>3</v>
      </c>
      <c r="F539" s="24">
        <v>247.47</v>
      </c>
      <c r="G539" s="22" t="s">
        <v>375</v>
      </c>
      <c r="H539" s="22" t="s">
        <v>79</v>
      </c>
      <c r="I539" s="22" t="s">
        <v>69</v>
      </c>
      <c r="J539" s="22" t="s">
        <v>2125</v>
      </c>
      <c r="K539" s="22">
        <v>4</v>
      </c>
      <c r="L539" s="22" t="s">
        <v>83</v>
      </c>
      <c r="M539" s="22" t="s">
        <v>87</v>
      </c>
      <c r="N539" s="24">
        <v>742.41</v>
      </c>
      <c r="O539" s="22">
        <f>YEAR(B539)</f>
        <v>2025</v>
      </c>
      <c r="P539" s="25">
        <f>DATE(YEAR(B539),MONTH(B539),1)</f>
        <v>45717</v>
      </c>
      <c r="Q539" s="22" t="str">
        <f>IF(N539&gt;Summary!$C$17,"Outlier","")</f>
        <v/>
      </c>
      <c r="R539" s="22" t="str">
        <f>IF(L539="","None",L539)</f>
        <v>SAVE10</v>
      </c>
    </row>
    <row r="540" spans="1:18" x14ac:dyDescent="0.2">
      <c r="A540" s="22" t="s">
        <v>2126</v>
      </c>
      <c r="B540" s="23">
        <v>45436</v>
      </c>
      <c r="C540" s="22" t="s">
        <v>2127</v>
      </c>
      <c r="D540" s="22" t="s">
        <v>67</v>
      </c>
      <c r="E540" s="22">
        <v>3</v>
      </c>
      <c r="F540" s="24">
        <v>490.74</v>
      </c>
      <c r="G540" s="22" t="s">
        <v>2128</v>
      </c>
      <c r="H540" s="22" t="s">
        <v>75</v>
      </c>
      <c r="I540" s="22" t="s">
        <v>70</v>
      </c>
      <c r="J540" s="22" t="s">
        <v>2129</v>
      </c>
      <c r="K540" s="22">
        <v>3</v>
      </c>
      <c r="L540" s="22" t="s">
        <v>84</v>
      </c>
      <c r="M540" s="22" t="s">
        <v>86</v>
      </c>
      <c r="N540" s="24">
        <v>1472.22</v>
      </c>
      <c r="O540" s="22">
        <f>YEAR(B540)</f>
        <v>2024</v>
      </c>
      <c r="P540" s="25">
        <f>DATE(YEAR(B540),MONTH(B540),1)</f>
        <v>45413</v>
      </c>
      <c r="Q540" s="22" t="str">
        <f>IF(N540&gt;Summary!$C$17,"Outlier","")</f>
        <v/>
      </c>
      <c r="R540" s="22" t="str">
        <f>IF(L540="","None",L540)</f>
        <v>WINTER15</v>
      </c>
    </row>
    <row r="541" spans="1:18" x14ac:dyDescent="0.2">
      <c r="A541" s="22" t="s">
        <v>2130</v>
      </c>
      <c r="B541" s="23">
        <v>45706</v>
      </c>
      <c r="C541" s="22" t="s">
        <v>2131</v>
      </c>
      <c r="D541" s="22" t="s">
        <v>66</v>
      </c>
      <c r="E541" s="22">
        <v>3</v>
      </c>
      <c r="F541" s="24">
        <v>531.72</v>
      </c>
      <c r="G541" s="22" t="s">
        <v>2132</v>
      </c>
      <c r="H541" s="22" t="s">
        <v>78</v>
      </c>
      <c r="I541" s="22" t="s">
        <v>69</v>
      </c>
      <c r="J541" s="22" t="s">
        <v>2133</v>
      </c>
      <c r="K541" s="22">
        <v>7</v>
      </c>
      <c r="L541" s="22" t="s">
        <v>83</v>
      </c>
      <c r="M541" s="22" t="s">
        <v>88</v>
      </c>
      <c r="N541" s="24">
        <v>1595.16</v>
      </c>
      <c r="O541" s="22">
        <f>YEAR(B541)</f>
        <v>2025</v>
      </c>
      <c r="P541" s="25">
        <f>DATE(YEAR(B541),MONTH(B541),1)</f>
        <v>45689</v>
      </c>
      <c r="Q541" s="22" t="str">
        <f>IF(N541&gt;Summary!$C$17,"Outlier","")</f>
        <v/>
      </c>
      <c r="R541" s="22" t="str">
        <f>IF(L541="","None",L541)</f>
        <v>SAVE10</v>
      </c>
    </row>
    <row r="542" spans="1:18" x14ac:dyDescent="0.2">
      <c r="A542" s="22" t="s">
        <v>2134</v>
      </c>
      <c r="B542" s="23">
        <v>45320</v>
      </c>
      <c r="C542" s="22" t="s">
        <v>2135</v>
      </c>
      <c r="D542" s="22" t="s">
        <v>63</v>
      </c>
      <c r="E542" s="22">
        <v>5</v>
      </c>
      <c r="F542" s="24">
        <v>648.65</v>
      </c>
      <c r="G542" s="22" t="s">
        <v>2136</v>
      </c>
      <c r="H542" s="22" t="s">
        <v>79</v>
      </c>
      <c r="I542" s="22" t="s">
        <v>71</v>
      </c>
      <c r="J542" s="22" t="s">
        <v>2137</v>
      </c>
      <c r="K542" s="22">
        <v>7</v>
      </c>
      <c r="L542" s="22"/>
      <c r="M542" s="22" t="s">
        <v>90</v>
      </c>
      <c r="N542" s="24">
        <v>3243.25</v>
      </c>
      <c r="O542" s="22">
        <f>YEAR(B542)</f>
        <v>2024</v>
      </c>
      <c r="P542" s="25">
        <f>DATE(YEAR(B542),MONTH(B542),1)</f>
        <v>45292</v>
      </c>
      <c r="Q542" s="22" t="str">
        <f>IF(N542&gt;Summary!$C$17,"Outlier","")</f>
        <v/>
      </c>
      <c r="R542" s="22" t="str">
        <f>IF(L542="","None",L542)</f>
        <v>None</v>
      </c>
    </row>
    <row r="543" spans="1:18" x14ac:dyDescent="0.2">
      <c r="A543" s="22" t="s">
        <v>2138</v>
      </c>
      <c r="B543" s="23">
        <v>45145</v>
      </c>
      <c r="C543" s="22" t="s">
        <v>2139</v>
      </c>
      <c r="D543" s="22" t="s">
        <v>62</v>
      </c>
      <c r="E543" s="22">
        <v>5</v>
      </c>
      <c r="F543" s="24">
        <v>456.06</v>
      </c>
      <c r="G543" s="22" t="s">
        <v>2140</v>
      </c>
      <c r="H543" s="22" t="s">
        <v>75</v>
      </c>
      <c r="I543" s="22" t="s">
        <v>71</v>
      </c>
      <c r="J543" s="22" t="s">
        <v>2141</v>
      </c>
      <c r="K543" s="22">
        <v>10</v>
      </c>
      <c r="L543" s="22"/>
      <c r="M543" s="22" t="s">
        <v>89</v>
      </c>
      <c r="N543" s="24">
        <v>2280.3000000000002</v>
      </c>
      <c r="O543" s="22">
        <f>YEAR(B543)</f>
        <v>2023</v>
      </c>
      <c r="P543" s="25">
        <f>DATE(YEAR(B543),MONTH(B543),1)</f>
        <v>45139</v>
      </c>
      <c r="Q543" s="22" t="str">
        <f>IF(N543&gt;Summary!$C$17,"Outlier","")</f>
        <v/>
      </c>
      <c r="R543" s="22" t="str">
        <f>IF(L543="","None",L543)</f>
        <v>None</v>
      </c>
    </row>
    <row r="544" spans="1:18" x14ac:dyDescent="0.2">
      <c r="A544" s="22" t="s">
        <v>2142</v>
      </c>
      <c r="B544" s="23">
        <v>45244</v>
      </c>
      <c r="C544" s="22" t="s">
        <v>2143</v>
      </c>
      <c r="D544" s="22" t="s">
        <v>64</v>
      </c>
      <c r="E544" s="22">
        <v>1</v>
      </c>
      <c r="F544" s="24">
        <v>17.98</v>
      </c>
      <c r="G544" s="22" t="s">
        <v>139</v>
      </c>
      <c r="H544" s="22" t="s">
        <v>75</v>
      </c>
      <c r="I544" s="22" t="s">
        <v>73</v>
      </c>
      <c r="J544" s="22" t="s">
        <v>2144</v>
      </c>
      <c r="K544" s="22">
        <v>6</v>
      </c>
      <c r="L544" s="22" t="s">
        <v>82</v>
      </c>
      <c r="M544" s="22" t="s">
        <v>86</v>
      </c>
      <c r="N544" s="24">
        <v>17.98</v>
      </c>
      <c r="O544" s="22">
        <f>YEAR(B544)</f>
        <v>2023</v>
      </c>
      <c r="P544" s="25">
        <f>DATE(YEAR(B544),MONTH(B544),1)</f>
        <v>45231</v>
      </c>
      <c r="Q544" s="22" t="str">
        <f>IF(N544&gt;Summary!$C$17,"Outlier","")</f>
        <v/>
      </c>
      <c r="R544" s="22" t="str">
        <f>IF(L544="","None",L544)</f>
        <v>FREESHIP</v>
      </c>
    </row>
    <row r="545" spans="1:18" x14ac:dyDescent="0.2">
      <c r="A545" s="22" t="s">
        <v>2145</v>
      </c>
      <c r="B545" s="23">
        <v>45360</v>
      </c>
      <c r="C545" s="22" t="s">
        <v>2146</v>
      </c>
      <c r="D545" s="22" t="s">
        <v>66</v>
      </c>
      <c r="E545" s="22">
        <v>5</v>
      </c>
      <c r="F545" s="24">
        <v>269.86</v>
      </c>
      <c r="G545" s="22" t="s">
        <v>808</v>
      </c>
      <c r="H545" s="22" t="s">
        <v>75</v>
      </c>
      <c r="I545" s="22" t="s">
        <v>70</v>
      </c>
      <c r="J545" s="22" t="s">
        <v>2147</v>
      </c>
      <c r="K545" s="22">
        <v>6</v>
      </c>
      <c r="L545" s="22" t="s">
        <v>84</v>
      </c>
      <c r="M545" s="22" t="s">
        <v>87</v>
      </c>
      <c r="N545" s="24">
        <v>1349.3</v>
      </c>
      <c r="O545" s="22">
        <f>YEAR(B545)</f>
        <v>2024</v>
      </c>
      <c r="P545" s="25">
        <f>DATE(YEAR(B545),MONTH(B545),1)</f>
        <v>45352</v>
      </c>
      <c r="Q545" s="22" t="str">
        <f>IF(N545&gt;Summary!$C$17,"Outlier","")</f>
        <v/>
      </c>
      <c r="R545" s="22" t="str">
        <f>IF(L545="","None",L545)</f>
        <v>WINTER15</v>
      </c>
    </row>
    <row r="546" spans="1:18" x14ac:dyDescent="0.2">
      <c r="A546" s="22" t="s">
        <v>2148</v>
      </c>
      <c r="B546" s="23">
        <v>45361</v>
      </c>
      <c r="C546" s="22" t="s">
        <v>2149</v>
      </c>
      <c r="D546" s="22" t="s">
        <v>62</v>
      </c>
      <c r="E546" s="22">
        <v>5</v>
      </c>
      <c r="F546" s="24">
        <v>31.96</v>
      </c>
      <c r="G546" s="22" t="s">
        <v>1590</v>
      </c>
      <c r="H546" s="22" t="s">
        <v>76</v>
      </c>
      <c r="I546" s="22" t="s">
        <v>72</v>
      </c>
      <c r="J546" s="22" t="s">
        <v>2150</v>
      </c>
      <c r="K546" s="22">
        <v>5</v>
      </c>
      <c r="L546" s="22" t="s">
        <v>82</v>
      </c>
      <c r="M546" s="22" t="s">
        <v>90</v>
      </c>
      <c r="N546" s="24">
        <v>159.80000000000001</v>
      </c>
      <c r="O546" s="22">
        <f>YEAR(B546)</f>
        <v>2024</v>
      </c>
      <c r="P546" s="25">
        <f>DATE(YEAR(B546),MONTH(B546),1)</f>
        <v>45352</v>
      </c>
      <c r="Q546" s="22" t="str">
        <f>IF(N546&gt;Summary!$C$17,"Outlier","")</f>
        <v/>
      </c>
      <c r="R546" s="22" t="str">
        <f>IF(L546="","None",L546)</f>
        <v>FREESHIP</v>
      </c>
    </row>
    <row r="547" spans="1:18" x14ac:dyDescent="0.2">
      <c r="A547" s="22" t="s">
        <v>2151</v>
      </c>
      <c r="B547" s="23">
        <v>45279</v>
      </c>
      <c r="C547" s="22" t="s">
        <v>2152</v>
      </c>
      <c r="D547" s="22" t="s">
        <v>65</v>
      </c>
      <c r="E547" s="22">
        <v>2</v>
      </c>
      <c r="F547" s="24">
        <v>98.47</v>
      </c>
      <c r="G547" s="22" t="s">
        <v>2153</v>
      </c>
      <c r="H547" s="22" t="s">
        <v>75</v>
      </c>
      <c r="I547" s="22" t="s">
        <v>72</v>
      </c>
      <c r="J547" s="22" t="s">
        <v>2154</v>
      </c>
      <c r="K547" s="22">
        <v>3</v>
      </c>
      <c r="L547" s="22"/>
      <c r="M547" s="22" t="s">
        <v>89</v>
      </c>
      <c r="N547" s="24">
        <v>196.94</v>
      </c>
      <c r="O547" s="22">
        <f>YEAR(B547)</f>
        <v>2023</v>
      </c>
      <c r="P547" s="25">
        <f>DATE(YEAR(B547),MONTH(B547),1)</f>
        <v>45261</v>
      </c>
      <c r="Q547" s="22" t="str">
        <f>IF(N547&gt;Summary!$C$17,"Outlier","")</f>
        <v/>
      </c>
      <c r="R547" s="22" t="str">
        <f>IF(L547="","None",L547)</f>
        <v>None</v>
      </c>
    </row>
    <row r="548" spans="1:18" x14ac:dyDescent="0.2">
      <c r="A548" s="22" t="s">
        <v>2155</v>
      </c>
      <c r="B548" s="23">
        <v>45352</v>
      </c>
      <c r="C548" s="22" t="s">
        <v>2156</v>
      </c>
      <c r="D548" s="22" t="s">
        <v>65</v>
      </c>
      <c r="E548" s="22">
        <v>1</v>
      </c>
      <c r="F548" s="24">
        <v>158.68</v>
      </c>
      <c r="G548" s="22" t="s">
        <v>119</v>
      </c>
      <c r="H548" s="22" t="s">
        <v>76</v>
      </c>
      <c r="I548" s="22" t="s">
        <v>72</v>
      </c>
      <c r="J548" s="22" t="s">
        <v>2157</v>
      </c>
      <c r="K548" s="22">
        <v>6</v>
      </c>
      <c r="L548" s="22" t="s">
        <v>84</v>
      </c>
      <c r="M548" s="22" t="s">
        <v>89</v>
      </c>
      <c r="N548" s="24">
        <v>158.68</v>
      </c>
      <c r="O548" s="22">
        <f>YEAR(B548)</f>
        <v>2024</v>
      </c>
      <c r="P548" s="25">
        <f>DATE(YEAR(B548),MONTH(B548),1)</f>
        <v>45352</v>
      </c>
      <c r="Q548" s="22" t="str">
        <f>IF(N548&gt;Summary!$C$17,"Outlier","")</f>
        <v/>
      </c>
      <c r="R548" s="22" t="str">
        <f>IF(L548="","None",L548)</f>
        <v>WINTER15</v>
      </c>
    </row>
    <row r="549" spans="1:18" x14ac:dyDescent="0.2">
      <c r="A549" s="22" t="s">
        <v>2158</v>
      </c>
      <c r="B549" s="23">
        <v>45158</v>
      </c>
      <c r="C549" s="22" t="s">
        <v>2159</v>
      </c>
      <c r="D549" s="22" t="s">
        <v>67</v>
      </c>
      <c r="E549" s="22">
        <v>1</v>
      </c>
      <c r="F549" s="24">
        <v>613.98</v>
      </c>
      <c r="G549" s="22" t="s">
        <v>2160</v>
      </c>
      <c r="H549" s="22" t="s">
        <v>79</v>
      </c>
      <c r="I549" s="22" t="s">
        <v>69</v>
      </c>
      <c r="J549" s="22" t="s">
        <v>2161</v>
      </c>
      <c r="K549" s="22">
        <v>4</v>
      </c>
      <c r="L549" s="22" t="s">
        <v>82</v>
      </c>
      <c r="M549" s="22" t="s">
        <v>87</v>
      </c>
      <c r="N549" s="24">
        <v>613.98</v>
      </c>
      <c r="O549" s="22">
        <f>YEAR(B549)</f>
        <v>2023</v>
      </c>
      <c r="P549" s="25">
        <f>DATE(YEAR(B549),MONTH(B549),1)</f>
        <v>45139</v>
      </c>
      <c r="Q549" s="22" t="str">
        <f>IF(N549&gt;Summary!$C$17,"Outlier","")</f>
        <v/>
      </c>
      <c r="R549" s="22" t="str">
        <f>IF(L549="","None",L549)</f>
        <v>FREESHIP</v>
      </c>
    </row>
    <row r="550" spans="1:18" x14ac:dyDescent="0.2">
      <c r="A550" s="22" t="s">
        <v>2162</v>
      </c>
      <c r="B550" s="23">
        <v>45296</v>
      </c>
      <c r="C550" s="22" t="s">
        <v>2163</v>
      </c>
      <c r="D550" s="22" t="s">
        <v>62</v>
      </c>
      <c r="E550" s="22">
        <v>3</v>
      </c>
      <c r="F550" s="24">
        <v>426.12</v>
      </c>
      <c r="G550" s="22" t="s">
        <v>500</v>
      </c>
      <c r="H550" s="22" t="s">
        <v>79</v>
      </c>
      <c r="I550" s="22" t="s">
        <v>69</v>
      </c>
      <c r="J550" s="22" t="s">
        <v>2164</v>
      </c>
      <c r="K550" s="22">
        <v>5</v>
      </c>
      <c r="L550" s="22" t="s">
        <v>84</v>
      </c>
      <c r="M550" s="22" t="s">
        <v>89</v>
      </c>
      <c r="N550" s="24">
        <v>1278.3599999999999</v>
      </c>
      <c r="O550" s="22">
        <f>YEAR(B550)</f>
        <v>2024</v>
      </c>
      <c r="P550" s="25">
        <f>DATE(YEAR(B550),MONTH(B550),1)</f>
        <v>45292</v>
      </c>
      <c r="Q550" s="22" t="str">
        <f>IF(N550&gt;Summary!$C$17,"Outlier","")</f>
        <v/>
      </c>
      <c r="R550" s="22" t="str">
        <f>IF(L550="","None",L550)</f>
        <v>WINTER15</v>
      </c>
    </row>
    <row r="551" spans="1:18" x14ac:dyDescent="0.2">
      <c r="A551" s="22" t="s">
        <v>2165</v>
      </c>
      <c r="B551" s="23">
        <v>45713</v>
      </c>
      <c r="C551" s="22" t="s">
        <v>2166</v>
      </c>
      <c r="D551" s="22" t="s">
        <v>65</v>
      </c>
      <c r="E551" s="22">
        <v>4</v>
      </c>
      <c r="F551" s="24">
        <v>629.88</v>
      </c>
      <c r="G551" s="22" t="s">
        <v>2167</v>
      </c>
      <c r="H551" s="22" t="s">
        <v>77</v>
      </c>
      <c r="I551" s="22" t="s">
        <v>73</v>
      </c>
      <c r="J551" s="22" t="s">
        <v>2168</v>
      </c>
      <c r="K551" s="22">
        <v>8</v>
      </c>
      <c r="L551" s="22" t="s">
        <v>84</v>
      </c>
      <c r="M551" s="22" t="s">
        <v>89</v>
      </c>
      <c r="N551" s="24">
        <v>2519.52</v>
      </c>
      <c r="O551" s="22">
        <f>YEAR(B551)</f>
        <v>2025</v>
      </c>
      <c r="P551" s="25">
        <f>DATE(YEAR(B551),MONTH(B551),1)</f>
        <v>45689</v>
      </c>
      <c r="Q551" s="22" t="str">
        <f>IF(N551&gt;Summary!$C$17,"Outlier","")</f>
        <v/>
      </c>
      <c r="R551" s="22" t="str">
        <f>IF(L551="","None",L551)</f>
        <v>WINTER15</v>
      </c>
    </row>
    <row r="552" spans="1:18" x14ac:dyDescent="0.2">
      <c r="A552" s="22" t="s">
        <v>2169</v>
      </c>
      <c r="B552" s="23">
        <v>45228</v>
      </c>
      <c r="C552" s="22" t="s">
        <v>2170</v>
      </c>
      <c r="D552" s="22" t="s">
        <v>63</v>
      </c>
      <c r="E552" s="22">
        <v>4</v>
      </c>
      <c r="F552" s="24">
        <v>228.91</v>
      </c>
      <c r="G552" s="22" t="s">
        <v>676</v>
      </c>
      <c r="H552" s="22" t="s">
        <v>75</v>
      </c>
      <c r="I552" s="22" t="s">
        <v>70</v>
      </c>
      <c r="J552" s="22" t="s">
        <v>2171</v>
      </c>
      <c r="K552" s="22">
        <v>4</v>
      </c>
      <c r="L552" s="22" t="s">
        <v>82</v>
      </c>
      <c r="M552" s="22" t="s">
        <v>88</v>
      </c>
      <c r="N552" s="24">
        <v>915.64</v>
      </c>
      <c r="O552" s="22">
        <f>YEAR(B552)</f>
        <v>2023</v>
      </c>
      <c r="P552" s="25">
        <f>DATE(YEAR(B552),MONTH(B552),1)</f>
        <v>45200</v>
      </c>
      <c r="Q552" s="22" t="str">
        <f>IF(N552&gt;Summary!$C$17,"Outlier","")</f>
        <v/>
      </c>
      <c r="R552" s="22" t="str">
        <f>IF(L552="","None",L552)</f>
        <v>FREESHIP</v>
      </c>
    </row>
    <row r="553" spans="1:18" x14ac:dyDescent="0.2">
      <c r="A553" s="22" t="s">
        <v>2172</v>
      </c>
      <c r="B553" s="23">
        <v>45064</v>
      </c>
      <c r="C553" s="22" t="s">
        <v>2173</v>
      </c>
      <c r="D553" s="22" t="s">
        <v>63</v>
      </c>
      <c r="E553" s="22">
        <v>1</v>
      </c>
      <c r="F553" s="24">
        <v>120.98</v>
      </c>
      <c r="G553" s="22" t="s">
        <v>614</v>
      </c>
      <c r="H553" s="22" t="s">
        <v>77</v>
      </c>
      <c r="I553" s="22" t="s">
        <v>69</v>
      </c>
      <c r="J553" s="22" t="s">
        <v>2174</v>
      </c>
      <c r="K553" s="22">
        <v>6</v>
      </c>
      <c r="L553" s="22" t="s">
        <v>84</v>
      </c>
      <c r="M553" s="22" t="s">
        <v>86</v>
      </c>
      <c r="N553" s="24">
        <v>120.98</v>
      </c>
      <c r="O553" s="22">
        <f>YEAR(B553)</f>
        <v>2023</v>
      </c>
      <c r="P553" s="25">
        <f>DATE(YEAR(B553),MONTH(B553),1)</f>
        <v>45047</v>
      </c>
      <c r="Q553" s="22" t="str">
        <f>IF(N553&gt;Summary!$C$17,"Outlier","")</f>
        <v/>
      </c>
      <c r="R553" s="22" t="str">
        <f>IF(L553="","None",L553)</f>
        <v>WINTER15</v>
      </c>
    </row>
    <row r="554" spans="1:18" x14ac:dyDescent="0.2">
      <c r="A554" s="22" t="s">
        <v>2175</v>
      </c>
      <c r="B554" s="23">
        <v>45199</v>
      </c>
      <c r="C554" s="22" t="s">
        <v>2176</v>
      </c>
      <c r="D554" s="22" t="s">
        <v>61</v>
      </c>
      <c r="E554" s="22">
        <v>4</v>
      </c>
      <c r="F554" s="24">
        <v>425.18</v>
      </c>
      <c r="G554" s="22" t="s">
        <v>2030</v>
      </c>
      <c r="H554" s="22" t="s">
        <v>79</v>
      </c>
      <c r="I554" s="22" t="s">
        <v>72</v>
      </c>
      <c r="J554" s="22" t="s">
        <v>2177</v>
      </c>
      <c r="K554" s="22">
        <v>8</v>
      </c>
      <c r="L554" s="22" t="s">
        <v>84</v>
      </c>
      <c r="M554" s="22" t="s">
        <v>87</v>
      </c>
      <c r="N554" s="24">
        <v>1700.72</v>
      </c>
      <c r="O554" s="22">
        <f>YEAR(B554)</f>
        <v>2023</v>
      </c>
      <c r="P554" s="25">
        <f>DATE(YEAR(B554),MONTH(B554),1)</f>
        <v>45170</v>
      </c>
      <c r="Q554" s="22" t="str">
        <f>IF(N554&gt;Summary!$C$17,"Outlier","")</f>
        <v/>
      </c>
      <c r="R554" s="22" t="str">
        <f>IF(L554="","None",L554)</f>
        <v>WINTER15</v>
      </c>
    </row>
    <row r="555" spans="1:18" x14ac:dyDescent="0.2">
      <c r="A555" s="22" t="s">
        <v>2178</v>
      </c>
      <c r="B555" s="23">
        <v>45161</v>
      </c>
      <c r="C555" s="22" t="s">
        <v>2179</v>
      </c>
      <c r="D555" s="22" t="s">
        <v>67</v>
      </c>
      <c r="E555" s="22">
        <v>2</v>
      </c>
      <c r="F555" s="24">
        <v>333.83</v>
      </c>
      <c r="G555" s="22" t="s">
        <v>2180</v>
      </c>
      <c r="H555" s="22" t="s">
        <v>78</v>
      </c>
      <c r="I555" s="22" t="s">
        <v>73</v>
      </c>
      <c r="J555" s="22" t="s">
        <v>2181</v>
      </c>
      <c r="K555" s="22">
        <v>4</v>
      </c>
      <c r="L555" s="22" t="s">
        <v>82</v>
      </c>
      <c r="M555" s="22" t="s">
        <v>90</v>
      </c>
      <c r="N555" s="24">
        <v>667.66</v>
      </c>
      <c r="O555" s="22">
        <f>YEAR(B555)</f>
        <v>2023</v>
      </c>
      <c r="P555" s="25">
        <f>DATE(YEAR(B555),MONTH(B555),1)</f>
        <v>45139</v>
      </c>
      <c r="Q555" s="22" t="str">
        <f>IF(N555&gt;Summary!$C$17,"Outlier","")</f>
        <v/>
      </c>
      <c r="R555" s="22" t="str">
        <f>IF(L555="","None",L555)</f>
        <v>FREESHIP</v>
      </c>
    </row>
    <row r="556" spans="1:18" x14ac:dyDescent="0.2">
      <c r="A556" s="22" t="s">
        <v>2182</v>
      </c>
      <c r="B556" s="23">
        <v>45807</v>
      </c>
      <c r="C556" s="22" t="s">
        <v>2183</v>
      </c>
      <c r="D556" s="22" t="s">
        <v>63</v>
      </c>
      <c r="E556" s="22">
        <v>2</v>
      </c>
      <c r="F556" s="24">
        <v>492.9</v>
      </c>
      <c r="G556" s="22" t="s">
        <v>1014</v>
      </c>
      <c r="H556" s="22" t="s">
        <v>75</v>
      </c>
      <c r="I556" s="22" t="s">
        <v>72</v>
      </c>
      <c r="J556" s="22" t="s">
        <v>2184</v>
      </c>
      <c r="K556" s="22">
        <v>5</v>
      </c>
      <c r="L556" s="22" t="s">
        <v>82</v>
      </c>
      <c r="M556" s="22" t="s">
        <v>89</v>
      </c>
      <c r="N556" s="24">
        <v>985.8</v>
      </c>
      <c r="O556" s="22">
        <f>YEAR(B556)</f>
        <v>2025</v>
      </c>
      <c r="P556" s="25">
        <f>DATE(YEAR(B556),MONTH(B556),1)</f>
        <v>45778</v>
      </c>
      <c r="Q556" s="22" t="str">
        <f>IF(N556&gt;Summary!$C$17,"Outlier","")</f>
        <v/>
      </c>
      <c r="R556" s="22" t="str">
        <f>IF(L556="","None",L556)</f>
        <v>FREESHIP</v>
      </c>
    </row>
    <row r="557" spans="1:18" x14ac:dyDescent="0.2">
      <c r="A557" s="22" t="s">
        <v>2185</v>
      </c>
      <c r="B557" s="23">
        <v>44933</v>
      </c>
      <c r="C557" s="22" t="s">
        <v>2186</v>
      </c>
      <c r="D557" s="22" t="s">
        <v>64</v>
      </c>
      <c r="E557" s="22">
        <v>1</v>
      </c>
      <c r="F557" s="24">
        <v>92.04</v>
      </c>
      <c r="G557" s="22" t="s">
        <v>159</v>
      </c>
      <c r="H557" s="22" t="s">
        <v>75</v>
      </c>
      <c r="I557" s="22" t="s">
        <v>70</v>
      </c>
      <c r="J557" s="22" t="s">
        <v>2187</v>
      </c>
      <c r="K557" s="22">
        <v>2</v>
      </c>
      <c r="L557" s="22"/>
      <c r="M557" s="22" t="s">
        <v>87</v>
      </c>
      <c r="N557" s="24">
        <v>92.04</v>
      </c>
      <c r="O557" s="22">
        <f>YEAR(B557)</f>
        <v>2023</v>
      </c>
      <c r="P557" s="25">
        <f>DATE(YEAR(B557),MONTH(B557),1)</f>
        <v>44927</v>
      </c>
      <c r="Q557" s="22" t="str">
        <f>IF(N557&gt;Summary!$C$17,"Outlier","")</f>
        <v/>
      </c>
      <c r="R557" s="22" t="str">
        <f>IF(L557="","None",L557)</f>
        <v>None</v>
      </c>
    </row>
    <row r="558" spans="1:18" x14ac:dyDescent="0.2">
      <c r="A558" s="22" t="s">
        <v>2188</v>
      </c>
      <c r="B558" s="23">
        <v>44954</v>
      </c>
      <c r="C558" s="22" t="s">
        <v>2189</v>
      </c>
      <c r="D558" s="22" t="s">
        <v>63</v>
      </c>
      <c r="E558" s="22">
        <v>1</v>
      </c>
      <c r="F558" s="24">
        <v>654.27</v>
      </c>
      <c r="G558" s="22" t="s">
        <v>2190</v>
      </c>
      <c r="H558" s="22" t="s">
        <v>78</v>
      </c>
      <c r="I558" s="22" t="s">
        <v>71</v>
      </c>
      <c r="J558" s="22" t="s">
        <v>2191</v>
      </c>
      <c r="K558" s="22">
        <v>2</v>
      </c>
      <c r="L558" s="22" t="s">
        <v>83</v>
      </c>
      <c r="M558" s="22" t="s">
        <v>87</v>
      </c>
      <c r="N558" s="24">
        <v>654.27</v>
      </c>
      <c r="O558" s="22">
        <f>YEAR(B558)</f>
        <v>2023</v>
      </c>
      <c r="P558" s="25">
        <f>DATE(YEAR(B558),MONTH(B558),1)</f>
        <v>44927</v>
      </c>
      <c r="Q558" s="22" t="str">
        <f>IF(N558&gt;Summary!$C$17,"Outlier","")</f>
        <v/>
      </c>
      <c r="R558" s="22" t="str">
        <f>IF(L558="","None",L558)</f>
        <v>SAVE10</v>
      </c>
    </row>
    <row r="559" spans="1:18" x14ac:dyDescent="0.2">
      <c r="A559" s="22" t="s">
        <v>2192</v>
      </c>
      <c r="B559" s="23">
        <v>45106</v>
      </c>
      <c r="C559" s="22" t="s">
        <v>2193</v>
      </c>
      <c r="D559" s="22" t="s">
        <v>64</v>
      </c>
      <c r="E559" s="22">
        <v>1</v>
      </c>
      <c r="F559" s="24">
        <v>56.2</v>
      </c>
      <c r="G559" s="22" t="s">
        <v>2194</v>
      </c>
      <c r="H559" s="22" t="s">
        <v>77</v>
      </c>
      <c r="I559" s="22" t="s">
        <v>71</v>
      </c>
      <c r="J559" s="22" t="s">
        <v>2195</v>
      </c>
      <c r="K559" s="22">
        <v>1</v>
      </c>
      <c r="L559" s="22" t="s">
        <v>84</v>
      </c>
      <c r="M559" s="22" t="s">
        <v>87</v>
      </c>
      <c r="N559" s="24">
        <v>56.2</v>
      </c>
      <c r="O559" s="22">
        <f>YEAR(B559)</f>
        <v>2023</v>
      </c>
      <c r="P559" s="25">
        <f>DATE(YEAR(B559),MONTH(B559),1)</f>
        <v>45078</v>
      </c>
      <c r="Q559" s="22" t="str">
        <f>IF(N559&gt;Summary!$C$17,"Outlier","")</f>
        <v/>
      </c>
      <c r="R559" s="22" t="str">
        <f>IF(L559="","None",L559)</f>
        <v>WINTER15</v>
      </c>
    </row>
    <row r="560" spans="1:18" x14ac:dyDescent="0.2">
      <c r="A560" s="22" t="s">
        <v>2196</v>
      </c>
      <c r="B560" s="23">
        <v>45489</v>
      </c>
      <c r="C560" s="22" t="s">
        <v>2197</v>
      </c>
      <c r="D560" s="22" t="s">
        <v>67</v>
      </c>
      <c r="E560" s="22">
        <v>4</v>
      </c>
      <c r="F560" s="24">
        <v>628.12</v>
      </c>
      <c r="G560" s="22" t="s">
        <v>2198</v>
      </c>
      <c r="H560" s="22" t="s">
        <v>79</v>
      </c>
      <c r="I560" s="22" t="s">
        <v>69</v>
      </c>
      <c r="J560" s="22" t="s">
        <v>2199</v>
      </c>
      <c r="K560" s="22">
        <v>6</v>
      </c>
      <c r="L560" s="22" t="s">
        <v>84</v>
      </c>
      <c r="M560" s="22" t="s">
        <v>89</v>
      </c>
      <c r="N560" s="24">
        <v>2512.48</v>
      </c>
      <c r="O560" s="22">
        <f>YEAR(B560)</f>
        <v>2024</v>
      </c>
      <c r="P560" s="25">
        <f>DATE(YEAR(B560),MONTH(B560),1)</f>
        <v>45474</v>
      </c>
      <c r="Q560" s="22" t="str">
        <f>IF(N560&gt;Summary!$C$17,"Outlier","")</f>
        <v/>
      </c>
      <c r="R560" s="22" t="str">
        <f>IF(L560="","None",L560)</f>
        <v>WINTER15</v>
      </c>
    </row>
    <row r="561" spans="1:18" x14ac:dyDescent="0.2">
      <c r="A561" s="22" t="s">
        <v>2200</v>
      </c>
      <c r="B561" s="23">
        <v>45397</v>
      </c>
      <c r="C561" s="22" t="s">
        <v>2201</v>
      </c>
      <c r="D561" s="22" t="s">
        <v>66</v>
      </c>
      <c r="E561" s="22">
        <v>3</v>
      </c>
      <c r="F561" s="24">
        <v>157.4</v>
      </c>
      <c r="G561" s="22" t="s">
        <v>1986</v>
      </c>
      <c r="H561" s="22" t="s">
        <v>77</v>
      </c>
      <c r="I561" s="22" t="s">
        <v>73</v>
      </c>
      <c r="J561" s="22" t="s">
        <v>2202</v>
      </c>
      <c r="K561" s="22">
        <v>7</v>
      </c>
      <c r="L561" s="22" t="s">
        <v>84</v>
      </c>
      <c r="M561" s="22" t="s">
        <v>86</v>
      </c>
      <c r="N561" s="24">
        <v>472.2</v>
      </c>
      <c r="O561" s="22">
        <f>YEAR(B561)</f>
        <v>2024</v>
      </c>
      <c r="P561" s="25">
        <f>DATE(YEAR(B561),MONTH(B561),1)</f>
        <v>45383</v>
      </c>
      <c r="Q561" s="22" t="str">
        <f>IF(N561&gt;Summary!$C$17,"Outlier","")</f>
        <v/>
      </c>
      <c r="R561" s="22" t="str">
        <f>IF(L561="","None",L561)</f>
        <v>WINTER15</v>
      </c>
    </row>
    <row r="562" spans="1:18" x14ac:dyDescent="0.2">
      <c r="A562" s="22" t="s">
        <v>2203</v>
      </c>
      <c r="B562" s="23">
        <v>44957</v>
      </c>
      <c r="C562" s="22" t="s">
        <v>2204</v>
      </c>
      <c r="D562" s="22" t="s">
        <v>65</v>
      </c>
      <c r="E562" s="22">
        <v>4</v>
      </c>
      <c r="F562" s="24">
        <v>588.85</v>
      </c>
      <c r="G562" s="22" t="s">
        <v>2205</v>
      </c>
      <c r="H562" s="22" t="s">
        <v>78</v>
      </c>
      <c r="I562" s="22" t="s">
        <v>71</v>
      </c>
      <c r="J562" s="22" t="s">
        <v>2206</v>
      </c>
      <c r="K562" s="22">
        <v>7</v>
      </c>
      <c r="L562" s="22"/>
      <c r="M562" s="22" t="s">
        <v>86</v>
      </c>
      <c r="N562" s="24">
        <v>2355.4</v>
      </c>
      <c r="O562" s="22">
        <f>YEAR(B562)</f>
        <v>2023</v>
      </c>
      <c r="P562" s="25">
        <f>DATE(YEAR(B562),MONTH(B562),1)</f>
        <v>44927</v>
      </c>
      <c r="Q562" s="22" t="str">
        <f>IF(N562&gt;Summary!$C$17,"Outlier","")</f>
        <v/>
      </c>
      <c r="R562" s="22" t="str">
        <f>IF(L562="","None",L562)</f>
        <v>None</v>
      </c>
    </row>
    <row r="563" spans="1:18" x14ac:dyDescent="0.2">
      <c r="A563" s="22" t="s">
        <v>2207</v>
      </c>
      <c r="B563" s="23">
        <v>44957</v>
      </c>
      <c r="C563" s="22" t="s">
        <v>2208</v>
      </c>
      <c r="D563" s="22" t="s">
        <v>62</v>
      </c>
      <c r="E563" s="22">
        <v>2</v>
      </c>
      <c r="F563" s="24">
        <v>494.78</v>
      </c>
      <c r="G563" s="22" t="s">
        <v>2209</v>
      </c>
      <c r="H563" s="22" t="s">
        <v>79</v>
      </c>
      <c r="I563" s="22" t="s">
        <v>70</v>
      </c>
      <c r="J563" s="22" t="s">
        <v>2210</v>
      </c>
      <c r="K563" s="22">
        <v>2</v>
      </c>
      <c r="L563" s="22"/>
      <c r="M563" s="22" t="s">
        <v>88</v>
      </c>
      <c r="N563" s="24">
        <v>989.56</v>
      </c>
      <c r="O563" s="22">
        <f>YEAR(B563)</f>
        <v>2023</v>
      </c>
      <c r="P563" s="25">
        <f>DATE(YEAR(B563),MONTH(B563),1)</f>
        <v>44927</v>
      </c>
      <c r="Q563" s="22" t="str">
        <f>IF(N563&gt;Summary!$C$17,"Outlier","")</f>
        <v/>
      </c>
      <c r="R563" s="22" t="str">
        <f>IF(L563="","None",L563)</f>
        <v>None</v>
      </c>
    </row>
    <row r="564" spans="1:18" x14ac:dyDescent="0.2">
      <c r="A564" s="22" t="s">
        <v>2211</v>
      </c>
      <c r="B564" s="23">
        <v>45205</v>
      </c>
      <c r="C564" s="22" t="s">
        <v>2212</v>
      </c>
      <c r="D564" s="22" t="s">
        <v>63</v>
      </c>
      <c r="E564" s="22">
        <v>3</v>
      </c>
      <c r="F564" s="24">
        <v>663.93</v>
      </c>
      <c r="G564" s="22" t="s">
        <v>500</v>
      </c>
      <c r="H564" s="22" t="s">
        <v>78</v>
      </c>
      <c r="I564" s="22" t="s">
        <v>72</v>
      </c>
      <c r="J564" s="22" t="s">
        <v>2213</v>
      </c>
      <c r="K564" s="22">
        <v>6</v>
      </c>
      <c r="L564" s="22" t="s">
        <v>82</v>
      </c>
      <c r="M564" s="22" t="s">
        <v>86</v>
      </c>
      <c r="N564" s="24">
        <v>1991.79</v>
      </c>
      <c r="O564" s="22">
        <f>YEAR(B564)</f>
        <v>2023</v>
      </c>
      <c r="P564" s="25">
        <f>DATE(YEAR(B564),MONTH(B564),1)</f>
        <v>45200</v>
      </c>
      <c r="Q564" s="22" t="str">
        <f>IF(N564&gt;Summary!$C$17,"Outlier","")</f>
        <v/>
      </c>
      <c r="R564" s="22" t="str">
        <f>IF(L564="","None",L564)</f>
        <v>FREESHIP</v>
      </c>
    </row>
    <row r="565" spans="1:18" x14ac:dyDescent="0.2">
      <c r="A565" s="22" t="s">
        <v>2214</v>
      </c>
      <c r="B565" s="23">
        <v>45272</v>
      </c>
      <c r="C565" s="22" t="s">
        <v>2215</v>
      </c>
      <c r="D565" s="22" t="s">
        <v>63</v>
      </c>
      <c r="E565" s="22">
        <v>1</v>
      </c>
      <c r="F565" s="24">
        <v>132.68</v>
      </c>
      <c r="G565" s="22" t="s">
        <v>2216</v>
      </c>
      <c r="H565" s="22" t="s">
        <v>77</v>
      </c>
      <c r="I565" s="22" t="s">
        <v>72</v>
      </c>
      <c r="J565" s="22" t="s">
        <v>2217</v>
      </c>
      <c r="K565" s="22">
        <v>1</v>
      </c>
      <c r="L565" s="22" t="s">
        <v>83</v>
      </c>
      <c r="M565" s="22" t="s">
        <v>90</v>
      </c>
      <c r="N565" s="24">
        <v>132.68</v>
      </c>
      <c r="O565" s="22">
        <f>YEAR(B565)</f>
        <v>2023</v>
      </c>
      <c r="P565" s="25">
        <f>DATE(YEAR(B565),MONTH(B565),1)</f>
        <v>45261</v>
      </c>
      <c r="Q565" s="22" t="str">
        <f>IF(N565&gt;Summary!$C$17,"Outlier","")</f>
        <v/>
      </c>
      <c r="R565" s="22" t="str">
        <f>IF(L565="","None",L565)</f>
        <v>SAVE10</v>
      </c>
    </row>
    <row r="566" spans="1:18" x14ac:dyDescent="0.2">
      <c r="A566" s="22" t="s">
        <v>2218</v>
      </c>
      <c r="B566" s="23">
        <v>45755</v>
      </c>
      <c r="C566" s="22" t="s">
        <v>2219</v>
      </c>
      <c r="D566" s="22" t="s">
        <v>66</v>
      </c>
      <c r="E566" s="22">
        <v>5</v>
      </c>
      <c r="F566" s="24">
        <v>364.28</v>
      </c>
      <c r="G566" s="22" t="s">
        <v>2220</v>
      </c>
      <c r="H566" s="22" t="s">
        <v>76</v>
      </c>
      <c r="I566" s="22" t="s">
        <v>73</v>
      </c>
      <c r="J566" s="22" t="s">
        <v>2221</v>
      </c>
      <c r="K566" s="22">
        <v>5</v>
      </c>
      <c r="L566" s="22" t="s">
        <v>84</v>
      </c>
      <c r="M566" s="22" t="s">
        <v>88</v>
      </c>
      <c r="N566" s="24">
        <v>1821.4</v>
      </c>
      <c r="O566" s="22">
        <f>YEAR(B566)</f>
        <v>2025</v>
      </c>
      <c r="P566" s="25">
        <f>DATE(YEAR(B566),MONTH(B566),1)</f>
        <v>45748</v>
      </c>
      <c r="Q566" s="22" t="str">
        <f>IF(N566&gt;Summary!$C$17,"Outlier","")</f>
        <v/>
      </c>
      <c r="R566" s="22" t="str">
        <f>IF(L566="","None",L566)</f>
        <v>WINTER15</v>
      </c>
    </row>
    <row r="567" spans="1:18" x14ac:dyDescent="0.2">
      <c r="A567" s="22" t="s">
        <v>2222</v>
      </c>
      <c r="B567" s="23">
        <v>45060</v>
      </c>
      <c r="C567" s="22" t="s">
        <v>2223</v>
      </c>
      <c r="D567" s="22" t="s">
        <v>64</v>
      </c>
      <c r="E567" s="22">
        <v>5</v>
      </c>
      <c r="F567" s="24">
        <v>307.98</v>
      </c>
      <c r="G567" s="22" t="s">
        <v>1865</v>
      </c>
      <c r="H567" s="22" t="s">
        <v>79</v>
      </c>
      <c r="I567" s="22" t="s">
        <v>71</v>
      </c>
      <c r="J567" s="22" t="s">
        <v>2224</v>
      </c>
      <c r="K567" s="22">
        <v>10</v>
      </c>
      <c r="L567" s="22"/>
      <c r="M567" s="22" t="s">
        <v>87</v>
      </c>
      <c r="N567" s="24">
        <v>1539.9</v>
      </c>
      <c r="O567" s="22">
        <f>YEAR(B567)</f>
        <v>2023</v>
      </c>
      <c r="P567" s="25">
        <f>DATE(YEAR(B567),MONTH(B567),1)</f>
        <v>45047</v>
      </c>
      <c r="Q567" s="22" t="str">
        <f>IF(N567&gt;Summary!$C$17,"Outlier","")</f>
        <v/>
      </c>
      <c r="R567" s="22" t="str">
        <f>IF(L567="","None",L567)</f>
        <v>None</v>
      </c>
    </row>
    <row r="568" spans="1:18" x14ac:dyDescent="0.2">
      <c r="A568" s="22" t="s">
        <v>2225</v>
      </c>
      <c r="B568" s="23">
        <v>45400</v>
      </c>
      <c r="C568" s="22" t="s">
        <v>2226</v>
      </c>
      <c r="D568" s="22" t="s">
        <v>67</v>
      </c>
      <c r="E568" s="22">
        <v>4</v>
      </c>
      <c r="F568" s="24">
        <v>162.71</v>
      </c>
      <c r="G568" s="22" t="s">
        <v>2227</v>
      </c>
      <c r="H568" s="22" t="s">
        <v>75</v>
      </c>
      <c r="I568" s="22" t="s">
        <v>73</v>
      </c>
      <c r="J568" s="22" t="s">
        <v>2228</v>
      </c>
      <c r="K568" s="22">
        <v>7</v>
      </c>
      <c r="L568" s="22" t="s">
        <v>82</v>
      </c>
      <c r="M568" s="22" t="s">
        <v>86</v>
      </c>
      <c r="N568" s="24">
        <v>650.84</v>
      </c>
      <c r="O568" s="22">
        <f>YEAR(B568)</f>
        <v>2024</v>
      </c>
      <c r="P568" s="25">
        <f>DATE(YEAR(B568),MONTH(B568),1)</f>
        <v>45383</v>
      </c>
      <c r="Q568" s="22" t="str">
        <f>IF(N568&gt;Summary!$C$17,"Outlier","")</f>
        <v/>
      </c>
      <c r="R568" s="22" t="str">
        <f>IF(L568="","None",L568)</f>
        <v>FREESHIP</v>
      </c>
    </row>
    <row r="569" spans="1:18" x14ac:dyDescent="0.2">
      <c r="A569" s="22" t="s">
        <v>2229</v>
      </c>
      <c r="B569" s="23">
        <v>45565</v>
      </c>
      <c r="C569" s="22" t="s">
        <v>2230</v>
      </c>
      <c r="D569" s="22" t="s">
        <v>61</v>
      </c>
      <c r="E569" s="22">
        <v>5</v>
      </c>
      <c r="F569" s="24">
        <v>492.94</v>
      </c>
      <c r="G569" s="22" t="s">
        <v>1120</v>
      </c>
      <c r="H569" s="22" t="s">
        <v>75</v>
      </c>
      <c r="I569" s="22" t="s">
        <v>70</v>
      </c>
      <c r="J569" s="22" t="s">
        <v>2231</v>
      </c>
      <c r="K569" s="22">
        <v>10</v>
      </c>
      <c r="L569" s="22" t="s">
        <v>82</v>
      </c>
      <c r="M569" s="22" t="s">
        <v>86</v>
      </c>
      <c r="N569" s="24">
        <v>2464.6999999999998</v>
      </c>
      <c r="O569" s="22">
        <f>YEAR(B569)</f>
        <v>2024</v>
      </c>
      <c r="P569" s="25">
        <f>DATE(YEAR(B569),MONTH(B569),1)</f>
        <v>45536</v>
      </c>
      <c r="Q569" s="22" t="str">
        <f>IF(N569&gt;Summary!$C$17,"Outlier","")</f>
        <v/>
      </c>
      <c r="R569" s="22" t="str">
        <f>IF(L569="","None",L569)</f>
        <v>FREESHIP</v>
      </c>
    </row>
    <row r="570" spans="1:18" x14ac:dyDescent="0.2">
      <c r="A570" s="22" t="s">
        <v>2232</v>
      </c>
      <c r="B570" s="23">
        <v>44995</v>
      </c>
      <c r="C570" s="22" t="s">
        <v>2233</v>
      </c>
      <c r="D570" s="22" t="s">
        <v>63</v>
      </c>
      <c r="E570" s="22">
        <v>2</v>
      </c>
      <c r="F570" s="24">
        <v>343.99</v>
      </c>
      <c r="G570" s="22" t="s">
        <v>1506</v>
      </c>
      <c r="H570" s="22" t="s">
        <v>79</v>
      </c>
      <c r="I570" s="22" t="s">
        <v>69</v>
      </c>
      <c r="J570" s="22" t="s">
        <v>2234</v>
      </c>
      <c r="K570" s="22">
        <v>4</v>
      </c>
      <c r="L570" s="22"/>
      <c r="M570" s="22" t="s">
        <v>88</v>
      </c>
      <c r="N570" s="24">
        <v>687.98</v>
      </c>
      <c r="O570" s="22">
        <f>YEAR(B570)</f>
        <v>2023</v>
      </c>
      <c r="P570" s="25">
        <f>DATE(YEAR(B570),MONTH(B570),1)</f>
        <v>44986</v>
      </c>
      <c r="Q570" s="22" t="str">
        <f>IF(N570&gt;Summary!$C$17,"Outlier","")</f>
        <v/>
      </c>
      <c r="R570" s="22" t="str">
        <f>IF(L570="","None",L570)</f>
        <v>None</v>
      </c>
    </row>
    <row r="571" spans="1:18" x14ac:dyDescent="0.2">
      <c r="A571" s="22" t="s">
        <v>2235</v>
      </c>
      <c r="B571" s="23">
        <v>45738</v>
      </c>
      <c r="C571" s="22" t="s">
        <v>2236</v>
      </c>
      <c r="D571" s="22" t="s">
        <v>66</v>
      </c>
      <c r="E571" s="22">
        <v>5</v>
      </c>
      <c r="F571" s="24">
        <v>250.68</v>
      </c>
      <c r="G571" s="22" t="s">
        <v>1889</v>
      </c>
      <c r="H571" s="22" t="s">
        <v>75</v>
      </c>
      <c r="I571" s="22" t="s">
        <v>70</v>
      </c>
      <c r="J571" s="22" t="s">
        <v>2237</v>
      </c>
      <c r="K571" s="22">
        <v>8</v>
      </c>
      <c r="L571" s="22" t="s">
        <v>83</v>
      </c>
      <c r="M571" s="22" t="s">
        <v>89</v>
      </c>
      <c r="N571" s="24">
        <v>1253.4000000000001</v>
      </c>
      <c r="O571" s="22">
        <f>YEAR(B571)</f>
        <v>2025</v>
      </c>
      <c r="P571" s="25">
        <f>DATE(YEAR(B571),MONTH(B571),1)</f>
        <v>45717</v>
      </c>
      <c r="Q571" s="22" t="str">
        <f>IF(N571&gt;Summary!$C$17,"Outlier","")</f>
        <v/>
      </c>
      <c r="R571" s="22" t="str">
        <f>IF(L571="","None",L571)</f>
        <v>SAVE10</v>
      </c>
    </row>
    <row r="572" spans="1:18" x14ac:dyDescent="0.2">
      <c r="A572" s="22" t="s">
        <v>2238</v>
      </c>
      <c r="B572" s="23">
        <v>45653</v>
      </c>
      <c r="C572" s="22" t="s">
        <v>2239</v>
      </c>
      <c r="D572" s="22" t="s">
        <v>66</v>
      </c>
      <c r="E572" s="22">
        <v>2</v>
      </c>
      <c r="F572" s="24">
        <v>362.14</v>
      </c>
      <c r="G572" s="22" t="s">
        <v>571</v>
      </c>
      <c r="H572" s="22" t="s">
        <v>77</v>
      </c>
      <c r="I572" s="22" t="s">
        <v>71</v>
      </c>
      <c r="J572" s="22" t="s">
        <v>2240</v>
      </c>
      <c r="K572" s="22">
        <v>2</v>
      </c>
      <c r="L572" s="22" t="s">
        <v>83</v>
      </c>
      <c r="M572" s="22" t="s">
        <v>89</v>
      </c>
      <c r="N572" s="24">
        <v>724.28</v>
      </c>
      <c r="O572" s="22">
        <f>YEAR(B572)</f>
        <v>2024</v>
      </c>
      <c r="P572" s="25">
        <f>DATE(YEAR(B572),MONTH(B572),1)</f>
        <v>45627</v>
      </c>
      <c r="Q572" s="22" t="str">
        <f>IF(N572&gt;Summary!$C$17,"Outlier","")</f>
        <v/>
      </c>
      <c r="R572" s="22" t="str">
        <f>IF(L572="","None",L572)</f>
        <v>SAVE10</v>
      </c>
    </row>
    <row r="573" spans="1:18" x14ac:dyDescent="0.2">
      <c r="A573" s="22" t="s">
        <v>2241</v>
      </c>
      <c r="B573" s="23">
        <v>45619</v>
      </c>
      <c r="C573" s="22" t="s">
        <v>2242</v>
      </c>
      <c r="D573" s="22" t="s">
        <v>64</v>
      </c>
      <c r="E573" s="22">
        <v>1</v>
      </c>
      <c r="F573" s="24">
        <v>214.08</v>
      </c>
      <c r="G573" s="22" t="s">
        <v>1912</v>
      </c>
      <c r="H573" s="22" t="s">
        <v>78</v>
      </c>
      <c r="I573" s="22" t="s">
        <v>72</v>
      </c>
      <c r="J573" s="22" t="s">
        <v>2243</v>
      </c>
      <c r="K573" s="22">
        <v>2</v>
      </c>
      <c r="L573" s="22" t="s">
        <v>84</v>
      </c>
      <c r="M573" s="22" t="s">
        <v>88</v>
      </c>
      <c r="N573" s="24">
        <v>214.08</v>
      </c>
      <c r="O573" s="22">
        <f>YEAR(B573)</f>
        <v>2024</v>
      </c>
      <c r="P573" s="25">
        <f>DATE(YEAR(B573),MONTH(B573),1)</f>
        <v>45597</v>
      </c>
      <c r="Q573" s="22" t="str">
        <f>IF(N573&gt;Summary!$C$17,"Outlier","")</f>
        <v/>
      </c>
      <c r="R573" s="22" t="str">
        <f>IF(L573="","None",L573)</f>
        <v>WINTER15</v>
      </c>
    </row>
    <row r="574" spans="1:18" x14ac:dyDescent="0.2">
      <c r="A574" s="22" t="s">
        <v>2244</v>
      </c>
      <c r="B574" s="23">
        <v>45241</v>
      </c>
      <c r="C574" s="22" t="s">
        <v>2245</v>
      </c>
      <c r="D574" s="22" t="s">
        <v>62</v>
      </c>
      <c r="E574" s="22">
        <v>1</v>
      </c>
      <c r="F574" s="24">
        <v>70.319999999999993</v>
      </c>
      <c r="G574" s="22" t="s">
        <v>1556</v>
      </c>
      <c r="H574" s="22" t="s">
        <v>75</v>
      </c>
      <c r="I574" s="22" t="s">
        <v>72</v>
      </c>
      <c r="J574" s="22" t="s">
        <v>2246</v>
      </c>
      <c r="K574" s="22">
        <v>4</v>
      </c>
      <c r="L574" s="22" t="s">
        <v>84</v>
      </c>
      <c r="M574" s="22" t="s">
        <v>87</v>
      </c>
      <c r="N574" s="24">
        <v>70.319999999999993</v>
      </c>
      <c r="O574" s="22">
        <f>YEAR(B574)</f>
        <v>2023</v>
      </c>
      <c r="P574" s="25">
        <f>DATE(YEAR(B574),MONTH(B574),1)</f>
        <v>45231</v>
      </c>
      <c r="Q574" s="22" t="str">
        <f>IF(N574&gt;Summary!$C$17,"Outlier","")</f>
        <v/>
      </c>
      <c r="R574" s="22" t="str">
        <f>IF(L574="","None",L574)</f>
        <v>WINTER15</v>
      </c>
    </row>
    <row r="575" spans="1:18" x14ac:dyDescent="0.2">
      <c r="A575" s="22" t="s">
        <v>2247</v>
      </c>
      <c r="B575" s="23">
        <v>44951</v>
      </c>
      <c r="C575" s="22" t="s">
        <v>2248</v>
      </c>
      <c r="D575" s="22" t="s">
        <v>61</v>
      </c>
      <c r="E575" s="22">
        <v>5</v>
      </c>
      <c r="F575" s="24">
        <v>421.42</v>
      </c>
      <c r="G575" s="22" t="s">
        <v>543</v>
      </c>
      <c r="H575" s="22" t="s">
        <v>77</v>
      </c>
      <c r="I575" s="22" t="s">
        <v>73</v>
      </c>
      <c r="J575" s="22" t="s">
        <v>2249</v>
      </c>
      <c r="K575" s="22">
        <v>7</v>
      </c>
      <c r="L575" s="22"/>
      <c r="M575" s="22" t="s">
        <v>89</v>
      </c>
      <c r="N575" s="24">
        <v>2107.1</v>
      </c>
      <c r="O575" s="22">
        <f>YEAR(B575)</f>
        <v>2023</v>
      </c>
      <c r="P575" s="25">
        <f>DATE(YEAR(B575),MONTH(B575),1)</f>
        <v>44927</v>
      </c>
      <c r="Q575" s="22" t="str">
        <f>IF(N575&gt;Summary!$C$17,"Outlier","")</f>
        <v/>
      </c>
      <c r="R575" s="22" t="str">
        <f>IF(L575="","None",L575)</f>
        <v>None</v>
      </c>
    </row>
    <row r="576" spans="1:18" x14ac:dyDescent="0.2">
      <c r="A576" s="22" t="s">
        <v>2250</v>
      </c>
      <c r="B576" s="23">
        <v>45315</v>
      </c>
      <c r="C576" s="22" t="s">
        <v>2251</v>
      </c>
      <c r="D576" s="22" t="s">
        <v>61</v>
      </c>
      <c r="E576" s="22">
        <v>5</v>
      </c>
      <c r="F576" s="24">
        <v>384.69</v>
      </c>
      <c r="G576" s="22" t="s">
        <v>131</v>
      </c>
      <c r="H576" s="22" t="s">
        <v>76</v>
      </c>
      <c r="I576" s="22" t="s">
        <v>71</v>
      </c>
      <c r="J576" s="22" t="s">
        <v>2252</v>
      </c>
      <c r="K576" s="22">
        <v>6</v>
      </c>
      <c r="L576" s="22" t="s">
        <v>82</v>
      </c>
      <c r="M576" s="22" t="s">
        <v>86</v>
      </c>
      <c r="N576" s="24">
        <v>1923.45</v>
      </c>
      <c r="O576" s="22">
        <f>YEAR(B576)</f>
        <v>2024</v>
      </c>
      <c r="P576" s="25">
        <f>DATE(YEAR(B576),MONTH(B576),1)</f>
        <v>45292</v>
      </c>
      <c r="Q576" s="22" t="str">
        <f>IF(N576&gt;Summary!$C$17,"Outlier","")</f>
        <v/>
      </c>
      <c r="R576" s="22" t="str">
        <f>IF(L576="","None",L576)</f>
        <v>FREESHIP</v>
      </c>
    </row>
    <row r="577" spans="1:18" x14ac:dyDescent="0.2">
      <c r="A577" s="22" t="s">
        <v>2253</v>
      </c>
      <c r="B577" s="23">
        <v>45084</v>
      </c>
      <c r="C577" s="22" t="s">
        <v>2254</v>
      </c>
      <c r="D577" s="22" t="s">
        <v>61</v>
      </c>
      <c r="E577" s="22">
        <v>5</v>
      </c>
      <c r="F577" s="24">
        <v>448.15</v>
      </c>
      <c r="G577" s="22" t="s">
        <v>2255</v>
      </c>
      <c r="H577" s="22" t="s">
        <v>78</v>
      </c>
      <c r="I577" s="22" t="s">
        <v>72</v>
      </c>
      <c r="J577" s="22" t="s">
        <v>2256</v>
      </c>
      <c r="K577" s="22">
        <v>7</v>
      </c>
      <c r="L577" s="22" t="s">
        <v>83</v>
      </c>
      <c r="M577" s="22" t="s">
        <v>88</v>
      </c>
      <c r="N577" s="24">
        <v>2240.75</v>
      </c>
      <c r="O577" s="22">
        <f>YEAR(B577)</f>
        <v>2023</v>
      </c>
      <c r="P577" s="25">
        <f>DATE(YEAR(B577),MONTH(B577),1)</f>
        <v>45078</v>
      </c>
      <c r="Q577" s="22" t="str">
        <f>IF(N577&gt;Summary!$C$17,"Outlier","")</f>
        <v/>
      </c>
      <c r="R577" s="22" t="str">
        <f>IF(L577="","None",L577)</f>
        <v>SAVE10</v>
      </c>
    </row>
    <row r="578" spans="1:18" x14ac:dyDescent="0.2">
      <c r="A578" s="22" t="s">
        <v>2257</v>
      </c>
      <c r="B578" s="23">
        <v>45441</v>
      </c>
      <c r="C578" s="22" t="s">
        <v>2258</v>
      </c>
      <c r="D578" s="22" t="s">
        <v>63</v>
      </c>
      <c r="E578" s="22">
        <v>5</v>
      </c>
      <c r="F578" s="24">
        <v>79.08</v>
      </c>
      <c r="G578" s="22" t="s">
        <v>1490</v>
      </c>
      <c r="H578" s="22" t="s">
        <v>75</v>
      </c>
      <c r="I578" s="22" t="s">
        <v>71</v>
      </c>
      <c r="J578" s="22" t="s">
        <v>2259</v>
      </c>
      <c r="K578" s="22">
        <v>8</v>
      </c>
      <c r="L578" s="22"/>
      <c r="M578" s="22" t="s">
        <v>87</v>
      </c>
      <c r="N578" s="24">
        <v>395.4</v>
      </c>
      <c r="O578" s="22">
        <f>YEAR(B578)</f>
        <v>2024</v>
      </c>
      <c r="P578" s="25">
        <f>DATE(YEAR(B578),MONTH(B578),1)</f>
        <v>45413</v>
      </c>
      <c r="Q578" s="22" t="str">
        <f>IF(N578&gt;Summary!$C$17,"Outlier","")</f>
        <v/>
      </c>
      <c r="R578" s="22" t="str">
        <f>IF(L578="","None",L578)</f>
        <v>None</v>
      </c>
    </row>
    <row r="579" spans="1:18" x14ac:dyDescent="0.2">
      <c r="A579" s="22" t="s">
        <v>2260</v>
      </c>
      <c r="B579" s="23">
        <v>44948</v>
      </c>
      <c r="C579" s="22" t="s">
        <v>2261</v>
      </c>
      <c r="D579" s="22" t="s">
        <v>64</v>
      </c>
      <c r="E579" s="22">
        <v>4</v>
      </c>
      <c r="F579" s="24">
        <v>185.41</v>
      </c>
      <c r="G579" s="22" t="s">
        <v>449</v>
      </c>
      <c r="H579" s="22" t="s">
        <v>79</v>
      </c>
      <c r="I579" s="22" t="s">
        <v>72</v>
      </c>
      <c r="J579" s="22" t="s">
        <v>2262</v>
      </c>
      <c r="K579" s="22">
        <v>9</v>
      </c>
      <c r="L579" s="22" t="s">
        <v>84</v>
      </c>
      <c r="M579" s="22" t="s">
        <v>88</v>
      </c>
      <c r="N579" s="24">
        <v>741.64</v>
      </c>
      <c r="O579" s="22">
        <f>YEAR(B579)</f>
        <v>2023</v>
      </c>
      <c r="P579" s="25">
        <f>DATE(YEAR(B579),MONTH(B579),1)</f>
        <v>44927</v>
      </c>
      <c r="Q579" s="22" t="str">
        <f>IF(N579&gt;Summary!$C$17,"Outlier","")</f>
        <v/>
      </c>
      <c r="R579" s="22" t="str">
        <f>IF(L579="","None",L579)</f>
        <v>WINTER15</v>
      </c>
    </row>
    <row r="580" spans="1:18" x14ac:dyDescent="0.2">
      <c r="A580" s="22" t="s">
        <v>2263</v>
      </c>
      <c r="B580" s="23">
        <v>45575</v>
      </c>
      <c r="C580" s="22" t="s">
        <v>2264</v>
      </c>
      <c r="D580" s="22" t="s">
        <v>65</v>
      </c>
      <c r="E580" s="22">
        <v>5</v>
      </c>
      <c r="F580" s="24">
        <v>566.07000000000005</v>
      </c>
      <c r="G580" s="22" t="s">
        <v>199</v>
      </c>
      <c r="H580" s="22" t="s">
        <v>76</v>
      </c>
      <c r="I580" s="22" t="s">
        <v>69</v>
      </c>
      <c r="J580" s="22" t="s">
        <v>2265</v>
      </c>
      <c r="K580" s="22">
        <v>6</v>
      </c>
      <c r="L580" s="22" t="s">
        <v>83</v>
      </c>
      <c r="M580" s="22" t="s">
        <v>89</v>
      </c>
      <c r="N580" s="24">
        <v>2830.35</v>
      </c>
      <c r="O580" s="22">
        <f>YEAR(B580)</f>
        <v>2024</v>
      </c>
      <c r="P580" s="25">
        <f>DATE(YEAR(B580),MONTH(B580),1)</f>
        <v>45566</v>
      </c>
      <c r="Q580" s="22" t="str">
        <f>IF(N580&gt;Summary!$C$17,"Outlier","")</f>
        <v/>
      </c>
      <c r="R580" s="22" t="str">
        <f>IF(L580="","None",L580)</f>
        <v>SAVE10</v>
      </c>
    </row>
    <row r="581" spans="1:18" x14ac:dyDescent="0.2">
      <c r="A581" s="22" t="s">
        <v>2266</v>
      </c>
      <c r="B581" s="23">
        <v>45081</v>
      </c>
      <c r="C581" s="22" t="s">
        <v>2267</v>
      </c>
      <c r="D581" s="22" t="s">
        <v>64</v>
      </c>
      <c r="E581" s="22">
        <v>2</v>
      </c>
      <c r="F581" s="24">
        <v>187.88</v>
      </c>
      <c r="G581" s="22" t="s">
        <v>1344</v>
      </c>
      <c r="H581" s="22" t="s">
        <v>79</v>
      </c>
      <c r="I581" s="22" t="s">
        <v>70</v>
      </c>
      <c r="J581" s="22" t="s">
        <v>2268</v>
      </c>
      <c r="K581" s="22">
        <v>4</v>
      </c>
      <c r="L581" s="22" t="s">
        <v>84</v>
      </c>
      <c r="M581" s="22" t="s">
        <v>87</v>
      </c>
      <c r="N581" s="24">
        <v>375.76</v>
      </c>
      <c r="O581" s="22">
        <f>YEAR(B581)</f>
        <v>2023</v>
      </c>
      <c r="P581" s="25">
        <f>DATE(YEAR(B581),MONTH(B581),1)</f>
        <v>45078</v>
      </c>
      <c r="Q581" s="22" t="str">
        <f>IF(N581&gt;Summary!$C$17,"Outlier","")</f>
        <v/>
      </c>
      <c r="R581" s="22" t="str">
        <f>IF(L581="","None",L581)</f>
        <v>WINTER15</v>
      </c>
    </row>
    <row r="582" spans="1:18" x14ac:dyDescent="0.2">
      <c r="A582" s="22" t="s">
        <v>2269</v>
      </c>
      <c r="B582" s="23">
        <v>45244</v>
      </c>
      <c r="C582" s="22" t="s">
        <v>2270</v>
      </c>
      <c r="D582" s="22" t="s">
        <v>65</v>
      </c>
      <c r="E582" s="22">
        <v>2</v>
      </c>
      <c r="F582" s="24">
        <v>255.99</v>
      </c>
      <c r="G582" s="22" t="s">
        <v>2271</v>
      </c>
      <c r="H582" s="22" t="s">
        <v>76</v>
      </c>
      <c r="I582" s="22" t="s">
        <v>69</v>
      </c>
      <c r="J582" s="22" t="s">
        <v>2272</v>
      </c>
      <c r="K582" s="22">
        <v>4</v>
      </c>
      <c r="L582" s="22" t="s">
        <v>83</v>
      </c>
      <c r="M582" s="22" t="s">
        <v>89</v>
      </c>
      <c r="N582" s="24">
        <v>511.98</v>
      </c>
      <c r="O582" s="22">
        <f>YEAR(B582)</f>
        <v>2023</v>
      </c>
      <c r="P582" s="25">
        <f>DATE(YEAR(B582),MONTH(B582),1)</f>
        <v>45231</v>
      </c>
      <c r="Q582" s="22" t="str">
        <f>IF(N582&gt;Summary!$C$17,"Outlier","")</f>
        <v/>
      </c>
      <c r="R582" s="22" t="str">
        <f>IF(L582="","None",L582)</f>
        <v>SAVE10</v>
      </c>
    </row>
    <row r="583" spans="1:18" x14ac:dyDescent="0.2">
      <c r="A583" s="22" t="s">
        <v>2273</v>
      </c>
      <c r="B583" s="23">
        <v>45607</v>
      </c>
      <c r="C583" s="22" t="s">
        <v>2274</v>
      </c>
      <c r="D583" s="22" t="s">
        <v>63</v>
      </c>
      <c r="E583" s="22">
        <v>1</v>
      </c>
      <c r="F583" s="24">
        <v>627.34</v>
      </c>
      <c r="G583" s="22" t="s">
        <v>179</v>
      </c>
      <c r="H583" s="22" t="s">
        <v>79</v>
      </c>
      <c r="I583" s="22" t="s">
        <v>69</v>
      </c>
      <c r="J583" s="22" t="s">
        <v>2275</v>
      </c>
      <c r="K583" s="22">
        <v>1</v>
      </c>
      <c r="L583" s="22"/>
      <c r="M583" s="22" t="s">
        <v>90</v>
      </c>
      <c r="N583" s="24">
        <v>627.34</v>
      </c>
      <c r="O583" s="22">
        <f>YEAR(B583)</f>
        <v>2024</v>
      </c>
      <c r="P583" s="25">
        <f>DATE(YEAR(B583),MONTH(B583),1)</f>
        <v>45597</v>
      </c>
      <c r="Q583" s="22" t="str">
        <f>IF(N583&gt;Summary!$C$17,"Outlier","")</f>
        <v/>
      </c>
      <c r="R583" s="22" t="str">
        <f>IF(L583="","None",L583)</f>
        <v>None</v>
      </c>
    </row>
    <row r="584" spans="1:18" x14ac:dyDescent="0.2">
      <c r="A584" s="22" t="s">
        <v>2276</v>
      </c>
      <c r="B584" s="23">
        <v>45341</v>
      </c>
      <c r="C584" s="22" t="s">
        <v>2277</v>
      </c>
      <c r="D584" s="22" t="s">
        <v>64</v>
      </c>
      <c r="E584" s="22">
        <v>3</v>
      </c>
      <c r="F584" s="24">
        <v>474.14</v>
      </c>
      <c r="G584" s="22" t="s">
        <v>1600</v>
      </c>
      <c r="H584" s="22" t="s">
        <v>78</v>
      </c>
      <c r="I584" s="22" t="s">
        <v>70</v>
      </c>
      <c r="J584" s="22" t="s">
        <v>2278</v>
      </c>
      <c r="K584" s="22">
        <v>8</v>
      </c>
      <c r="L584" s="22" t="s">
        <v>84</v>
      </c>
      <c r="M584" s="22" t="s">
        <v>88</v>
      </c>
      <c r="N584" s="24">
        <v>1422.42</v>
      </c>
      <c r="O584" s="22">
        <f>YEAR(B584)</f>
        <v>2024</v>
      </c>
      <c r="P584" s="25">
        <f>DATE(YEAR(B584),MONTH(B584),1)</f>
        <v>45323</v>
      </c>
      <c r="Q584" s="22" t="str">
        <f>IF(N584&gt;Summary!$C$17,"Outlier","")</f>
        <v/>
      </c>
      <c r="R584" s="22" t="str">
        <f>IF(L584="","None",L584)</f>
        <v>WINTER15</v>
      </c>
    </row>
    <row r="585" spans="1:18" x14ac:dyDescent="0.2">
      <c r="A585" s="22" t="s">
        <v>2279</v>
      </c>
      <c r="B585" s="23">
        <v>45823</v>
      </c>
      <c r="C585" s="22" t="s">
        <v>2280</v>
      </c>
      <c r="D585" s="22" t="s">
        <v>61</v>
      </c>
      <c r="E585" s="22">
        <v>3</v>
      </c>
      <c r="F585" s="24">
        <v>154.37</v>
      </c>
      <c r="G585" s="22" t="s">
        <v>243</v>
      </c>
      <c r="H585" s="22" t="s">
        <v>78</v>
      </c>
      <c r="I585" s="22" t="s">
        <v>69</v>
      </c>
      <c r="J585" s="22" t="s">
        <v>2281</v>
      </c>
      <c r="K585" s="22">
        <v>4</v>
      </c>
      <c r="L585" s="22"/>
      <c r="M585" s="22" t="s">
        <v>89</v>
      </c>
      <c r="N585" s="24">
        <v>463.11</v>
      </c>
      <c r="O585" s="22">
        <f>YEAR(B585)</f>
        <v>2025</v>
      </c>
      <c r="P585" s="25">
        <f>DATE(YEAR(B585),MONTH(B585),1)</f>
        <v>45809</v>
      </c>
      <c r="Q585" s="22" t="str">
        <f>IF(N585&gt;Summary!$C$17,"Outlier","")</f>
        <v/>
      </c>
      <c r="R585" s="22" t="str">
        <f>IF(L585="","None",L585)</f>
        <v>None</v>
      </c>
    </row>
    <row r="586" spans="1:18" x14ac:dyDescent="0.2">
      <c r="A586" s="22" t="s">
        <v>2282</v>
      </c>
      <c r="B586" s="23">
        <v>45737</v>
      </c>
      <c r="C586" s="22" t="s">
        <v>2283</v>
      </c>
      <c r="D586" s="22" t="s">
        <v>61</v>
      </c>
      <c r="E586" s="22">
        <v>4</v>
      </c>
      <c r="F586" s="24">
        <v>145.05000000000001</v>
      </c>
      <c r="G586" s="22" t="s">
        <v>2284</v>
      </c>
      <c r="H586" s="22" t="s">
        <v>79</v>
      </c>
      <c r="I586" s="22" t="s">
        <v>69</v>
      </c>
      <c r="J586" s="22" t="s">
        <v>2285</v>
      </c>
      <c r="K586" s="22">
        <v>6</v>
      </c>
      <c r="L586" s="22" t="s">
        <v>83</v>
      </c>
      <c r="M586" s="22" t="s">
        <v>88</v>
      </c>
      <c r="N586" s="24">
        <v>580.20000000000005</v>
      </c>
      <c r="O586" s="22">
        <f>YEAR(B586)</f>
        <v>2025</v>
      </c>
      <c r="P586" s="25">
        <f>DATE(YEAR(B586),MONTH(B586),1)</f>
        <v>45717</v>
      </c>
      <c r="Q586" s="22" t="str">
        <f>IF(N586&gt;Summary!$C$17,"Outlier","")</f>
        <v/>
      </c>
      <c r="R586" s="22" t="str">
        <f>IF(L586="","None",L586)</f>
        <v>SAVE10</v>
      </c>
    </row>
    <row r="587" spans="1:18" x14ac:dyDescent="0.2">
      <c r="A587" s="22" t="s">
        <v>2286</v>
      </c>
      <c r="B587" s="23">
        <v>45158</v>
      </c>
      <c r="C587" s="22" t="s">
        <v>2287</v>
      </c>
      <c r="D587" s="22" t="s">
        <v>64</v>
      </c>
      <c r="E587" s="22">
        <v>4</v>
      </c>
      <c r="F587" s="24">
        <v>67.08</v>
      </c>
      <c r="G587" s="22" t="s">
        <v>1483</v>
      </c>
      <c r="H587" s="22" t="s">
        <v>75</v>
      </c>
      <c r="I587" s="22" t="s">
        <v>72</v>
      </c>
      <c r="J587" s="22" t="s">
        <v>2288</v>
      </c>
      <c r="K587" s="22">
        <v>8</v>
      </c>
      <c r="L587" s="22" t="s">
        <v>84</v>
      </c>
      <c r="M587" s="22" t="s">
        <v>88</v>
      </c>
      <c r="N587" s="24">
        <v>268.32</v>
      </c>
      <c r="O587" s="22">
        <f>YEAR(B587)</f>
        <v>2023</v>
      </c>
      <c r="P587" s="25">
        <f>DATE(YEAR(B587),MONTH(B587),1)</f>
        <v>45139</v>
      </c>
      <c r="Q587" s="22" t="str">
        <f>IF(N587&gt;Summary!$C$17,"Outlier","")</f>
        <v/>
      </c>
      <c r="R587" s="22" t="str">
        <f>IF(L587="","None",L587)</f>
        <v>WINTER15</v>
      </c>
    </row>
    <row r="588" spans="1:18" x14ac:dyDescent="0.2">
      <c r="A588" s="22" t="s">
        <v>2289</v>
      </c>
      <c r="B588" s="23">
        <v>45606</v>
      </c>
      <c r="C588" s="22" t="s">
        <v>2290</v>
      </c>
      <c r="D588" s="22" t="s">
        <v>65</v>
      </c>
      <c r="E588" s="22">
        <v>1</v>
      </c>
      <c r="F588" s="24">
        <v>522.08000000000004</v>
      </c>
      <c r="G588" s="22" t="s">
        <v>2291</v>
      </c>
      <c r="H588" s="22" t="s">
        <v>78</v>
      </c>
      <c r="I588" s="22" t="s">
        <v>72</v>
      </c>
      <c r="J588" s="22" t="s">
        <v>2292</v>
      </c>
      <c r="K588" s="22">
        <v>5</v>
      </c>
      <c r="L588" s="22" t="s">
        <v>82</v>
      </c>
      <c r="M588" s="22" t="s">
        <v>90</v>
      </c>
      <c r="N588" s="24">
        <v>522.08000000000004</v>
      </c>
      <c r="O588" s="22">
        <f>YEAR(B588)</f>
        <v>2024</v>
      </c>
      <c r="P588" s="25">
        <f>DATE(YEAR(B588),MONTH(B588),1)</f>
        <v>45597</v>
      </c>
      <c r="Q588" s="22" t="str">
        <f>IF(N588&gt;Summary!$C$17,"Outlier","")</f>
        <v/>
      </c>
      <c r="R588" s="22" t="str">
        <f>IF(L588="","None",L588)</f>
        <v>FREESHIP</v>
      </c>
    </row>
    <row r="589" spans="1:18" x14ac:dyDescent="0.2">
      <c r="A589" s="22" t="s">
        <v>2293</v>
      </c>
      <c r="B589" s="23">
        <v>45089</v>
      </c>
      <c r="C589" s="22" t="s">
        <v>2294</v>
      </c>
      <c r="D589" s="22" t="s">
        <v>65</v>
      </c>
      <c r="E589" s="22">
        <v>5</v>
      </c>
      <c r="F589" s="24">
        <v>514.6</v>
      </c>
      <c r="G589" s="22" t="s">
        <v>2295</v>
      </c>
      <c r="H589" s="22" t="s">
        <v>78</v>
      </c>
      <c r="I589" s="22" t="s">
        <v>69</v>
      </c>
      <c r="J589" s="22" t="s">
        <v>2296</v>
      </c>
      <c r="K589" s="22">
        <v>10</v>
      </c>
      <c r="L589" s="22" t="s">
        <v>82</v>
      </c>
      <c r="M589" s="22" t="s">
        <v>89</v>
      </c>
      <c r="N589" s="24">
        <v>2573</v>
      </c>
      <c r="O589" s="22">
        <f>YEAR(B589)</f>
        <v>2023</v>
      </c>
      <c r="P589" s="25">
        <f>DATE(YEAR(B589),MONTH(B589),1)</f>
        <v>45078</v>
      </c>
      <c r="Q589" s="22" t="str">
        <f>IF(N589&gt;Summary!$C$17,"Outlier","")</f>
        <v/>
      </c>
      <c r="R589" s="22" t="str">
        <f>IF(L589="","None",L589)</f>
        <v>FREESHIP</v>
      </c>
    </row>
    <row r="590" spans="1:18" x14ac:dyDescent="0.2">
      <c r="A590" s="22" t="s">
        <v>2297</v>
      </c>
      <c r="B590" s="23">
        <v>45636</v>
      </c>
      <c r="C590" s="22" t="s">
        <v>2298</v>
      </c>
      <c r="D590" s="22" t="s">
        <v>65</v>
      </c>
      <c r="E590" s="22">
        <v>4</v>
      </c>
      <c r="F590" s="24">
        <v>577.82000000000005</v>
      </c>
      <c r="G590" s="22" t="s">
        <v>351</v>
      </c>
      <c r="H590" s="22" t="s">
        <v>76</v>
      </c>
      <c r="I590" s="22" t="s">
        <v>69</v>
      </c>
      <c r="J590" s="22" t="s">
        <v>2299</v>
      </c>
      <c r="K590" s="22">
        <v>9</v>
      </c>
      <c r="L590" s="22"/>
      <c r="M590" s="22" t="s">
        <v>88</v>
      </c>
      <c r="N590" s="24">
        <v>2311.2800000000002</v>
      </c>
      <c r="O590" s="22">
        <f>YEAR(B590)</f>
        <v>2024</v>
      </c>
      <c r="P590" s="25">
        <f>DATE(YEAR(B590),MONTH(B590),1)</f>
        <v>45627</v>
      </c>
      <c r="Q590" s="22" t="str">
        <f>IF(N590&gt;Summary!$C$17,"Outlier","")</f>
        <v/>
      </c>
      <c r="R590" s="22" t="str">
        <f>IF(L590="","None",L590)</f>
        <v>None</v>
      </c>
    </row>
    <row r="591" spans="1:18" x14ac:dyDescent="0.2">
      <c r="A591" s="22" t="s">
        <v>2300</v>
      </c>
      <c r="B591" s="23">
        <v>45698</v>
      </c>
      <c r="C591" s="22" t="s">
        <v>2301</v>
      </c>
      <c r="D591" s="22" t="s">
        <v>63</v>
      </c>
      <c r="E591" s="22">
        <v>2</v>
      </c>
      <c r="F591" s="24">
        <v>500.8</v>
      </c>
      <c r="G591" s="22" t="s">
        <v>2302</v>
      </c>
      <c r="H591" s="22" t="s">
        <v>75</v>
      </c>
      <c r="I591" s="22" t="s">
        <v>69</v>
      </c>
      <c r="J591" s="22" t="s">
        <v>2303</v>
      </c>
      <c r="K591" s="22">
        <v>3</v>
      </c>
      <c r="L591" s="22" t="s">
        <v>82</v>
      </c>
      <c r="M591" s="22" t="s">
        <v>90</v>
      </c>
      <c r="N591" s="24">
        <v>1001.6</v>
      </c>
      <c r="O591" s="22">
        <f>YEAR(B591)</f>
        <v>2025</v>
      </c>
      <c r="P591" s="25">
        <f>DATE(YEAR(B591),MONTH(B591),1)</f>
        <v>45689</v>
      </c>
      <c r="Q591" s="22" t="str">
        <f>IF(N591&gt;Summary!$C$17,"Outlier","")</f>
        <v/>
      </c>
      <c r="R591" s="22" t="str">
        <f>IF(L591="","None",L591)</f>
        <v>FREESHIP</v>
      </c>
    </row>
    <row r="592" spans="1:18" x14ac:dyDescent="0.2">
      <c r="A592" s="22" t="s">
        <v>2304</v>
      </c>
      <c r="B592" s="23">
        <v>45179</v>
      </c>
      <c r="C592" s="22" t="s">
        <v>2305</v>
      </c>
      <c r="D592" s="22" t="s">
        <v>62</v>
      </c>
      <c r="E592" s="22">
        <v>2</v>
      </c>
      <c r="F592" s="24">
        <v>461.13</v>
      </c>
      <c r="G592" s="22" t="s">
        <v>2306</v>
      </c>
      <c r="H592" s="22" t="s">
        <v>78</v>
      </c>
      <c r="I592" s="22" t="s">
        <v>72</v>
      </c>
      <c r="J592" s="22" t="s">
        <v>2307</v>
      </c>
      <c r="K592" s="22">
        <v>4</v>
      </c>
      <c r="L592" s="22"/>
      <c r="M592" s="22" t="s">
        <v>86</v>
      </c>
      <c r="N592" s="24">
        <v>922.26</v>
      </c>
      <c r="O592" s="22">
        <f>YEAR(B592)</f>
        <v>2023</v>
      </c>
      <c r="P592" s="25">
        <f>DATE(YEAR(B592),MONTH(B592),1)</f>
        <v>45170</v>
      </c>
      <c r="Q592" s="22" t="str">
        <f>IF(N592&gt;Summary!$C$17,"Outlier","")</f>
        <v/>
      </c>
      <c r="R592" s="22" t="str">
        <f>IF(L592="","None",L592)</f>
        <v>None</v>
      </c>
    </row>
    <row r="593" spans="1:18" x14ac:dyDescent="0.2">
      <c r="A593" s="22" t="s">
        <v>2308</v>
      </c>
      <c r="B593" s="23">
        <v>45614</v>
      </c>
      <c r="C593" s="22" t="s">
        <v>2309</v>
      </c>
      <c r="D593" s="22" t="s">
        <v>63</v>
      </c>
      <c r="E593" s="22">
        <v>1</v>
      </c>
      <c r="F593" s="24">
        <v>605.28</v>
      </c>
      <c r="G593" s="22" t="s">
        <v>2310</v>
      </c>
      <c r="H593" s="22" t="s">
        <v>78</v>
      </c>
      <c r="I593" s="22" t="s">
        <v>70</v>
      </c>
      <c r="J593" s="22" t="s">
        <v>2311</v>
      </c>
      <c r="K593" s="22">
        <v>3</v>
      </c>
      <c r="L593" s="22" t="s">
        <v>82</v>
      </c>
      <c r="M593" s="22" t="s">
        <v>90</v>
      </c>
      <c r="N593" s="24">
        <v>605.28</v>
      </c>
      <c r="O593" s="22">
        <f>YEAR(B593)</f>
        <v>2024</v>
      </c>
      <c r="P593" s="25">
        <f>DATE(YEAR(B593),MONTH(B593),1)</f>
        <v>45597</v>
      </c>
      <c r="Q593" s="22" t="str">
        <f>IF(N593&gt;Summary!$C$17,"Outlier","")</f>
        <v/>
      </c>
      <c r="R593" s="22" t="str">
        <f>IF(L593="","None",L593)</f>
        <v>FREESHIP</v>
      </c>
    </row>
    <row r="594" spans="1:18" x14ac:dyDescent="0.2">
      <c r="A594" s="22" t="s">
        <v>2312</v>
      </c>
      <c r="B594" s="23">
        <v>45405</v>
      </c>
      <c r="C594" s="22" t="s">
        <v>2313</v>
      </c>
      <c r="D594" s="22" t="s">
        <v>67</v>
      </c>
      <c r="E594" s="22">
        <v>3</v>
      </c>
      <c r="F594" s="24">
        <v>204.27</v>
      </c>
      <c r="G594" s="22" t="s">
        <v>2095</v>
      </c>
      <c r="H594" s="22" t="s">
        <v>79</v>
      </c>
      <c r="I594" s="22" t="s">
        <v>72</v>
      </c>
      <c r="J594" s="22" t="s">
        <v>2314</v>
      </c>
      <c r="K594" s="22">
        <v>4</v>
      </c>
      <c r="L594" s="22"/>
      <c r="M594" s="22" t="s">
        <v>88</v>
      </c>
      <c r="N594" s="24">
        <v>612.80999999999995</v>
      </c>
      <c r="O594" s="22">
        <f>YEAR(B594)</f>
        <v>2024</v>
      </c>
      <c r="P594" s="25">
        <f>DATE(YEAR(B594),MONTH(B594),1)</f>
        <v>45383</v>
      </c>
      <c r="Q594" s="22" t="str">
        <f>IF(N594&gt;Summary!$C$17,"Outlier","")</f>
        <v/>
      </c>
      <c r="R594" s="22" t="str">
        <f>IF(L594="","None",L594)</f>
        <v>None</v>
      </c>
    </row>
    <row r="595" spans="1:18" x14ac:dyDescent="0.2">
      <c r="A595" s="22" t="s">
        <v>2315</v>
      </c>
      <c r="B595" s="23">
        <v>45140</v>
      </c>
      <c r="C595" s="22" t="s">
        <v>2316</v>
      </c>
      <c r="D595" s="22" t="s">
        <v>65</v>
      </c>
      <c r="E595" s="22">
        <v>1</v>
      </c>
      <c r="F595" s="24">
        <v>489.8</v>
      </c>
      <c r="G595" s="22" t="s">
        <v>642</v>
      </c>
      <c r="H595" s="22" t="s">
        <v>78</v>
      </c>
      <c r="I595" s="22" t="s">
        <v>70</v>
      </c>
      <c r="J595" s="22" t="s">
        <v>2317</v>
      </c>
      <c r="K595" s="22">
        <v>4</v>
      </c>
      <c r="L595" s="22" t="s">
        <v>82</v>
      </c>
      <c r="M595" s="22" t="s">
        <v>87</v>
      </c>
      <c r="N595" s="24">
        <v>489.8</v>
      </c>
      <c r="O595" s="22">
        <f>YEAR(B595)</f>
        <v>2023</v>
      </c>
      <c r="P595" s="25">
        <f>DATE(YEAR(B595),MONTH(B595),1)</f>
        <v>45139</v>
      </c>
      <c r="Q595" s="22" t="str">
        <f>IF(N595&gt;Summary!$C$17,"Outlier","")</f>
        <v/>
      </c>
      <c r="R595" s="22" t="str">
        <f>IF(L595="","None",L595)</f>
        <v>FREESHIP</v>
      </c>
    </row>
    <row r="596" spans="1:18" x14ac:dyDescent="0.2">
      <c r="A596" s="22" t="s">
        <v>2318</v>
      </c>
      <c r="B596" s="23">
        <v>45343</v>
      </c>
      <c r="C596" s="22" t="s">
        <v>2319</v>
      </c>
      <c r="D596" s="22" t="s">
        <v>67</v>
      </c>
      <c r="E596" s="22">
        <v>5</v>
      </c>
      <c r="F596" s="24">
        <v>72.64</v>
      </c>
      <c r="G596" s="22" t="s">
        <v>657</v>
      </c>
      <c r="H596" s="22" t="s">
        <v>76</v>
      </c>
      <c r="I596" s="22" t="s">
        <v>73</v>
      </c>
      <c r="J596" s="22" t="s">
        <v>2320</v>
      </c>
      <c r="K596" s="22">
        <v>7</v>
      </c>
      <c r="L596" s="22"/>
      <c r="M596" s="22" t="s">
        <v>86</v>
      </c>
      <c r="N596" s="24">
        <v>363.2</v>
      </c>
      <c r="O596" s="22">
        <f>YEAR(B596)</f>
        <v>2024</v>
      </c>
      <c r="P596" s="25">
        <f>DATE(YEAR(B596),MONTH(B596),1)</f>
        <v>45323</v>
      </c>
      <c r="Q596" s="22" t="str">
        <f>IF(N596&gt;Summary!$C$17,"Outlier","")</f>
        <v/>
      </c>
      <c r="R596" s="22" t="str">
        <f>IF(L596="","None",L596)</f>
        <v>None</v>
      </c>
    </row>
    <row r="597" spans="1:18" x14ac:dyDescent="0.2">
      <c r="A597" s="22" t="s">
        <v>2321</v>
      </c>
      <c r="B597" s="23">
        <v>45667</v>
      </c>
      <c r="C597" s="22" t="s">
        <v>2322</v>
      </c>
      <c r="D597" s="22" t="s">
        <v>62</v>
      </c>
      <c r="E597" s="22">
        <v>2</v>
      </c>
      <c r="F597" s="24">
        <v>385.16</v>
      </c>
      <c r="G597" s="22" t="s">
        <v>2323</v>
      </c>
      <c r="H597" s="22" t="s">
        <v>79</v>
      </c>
      <c r="I597" s="22" t="s">
        <v>71</v>
      </c>
      <c r="J597" s="22" t="s">
        <v>2324</v>
      </c>
      <c r="K597" s="22">
        <v>7</v>
      </c>
      <c r="L597" s="22" t="s">
        <v>83</v>
      </c>
      <c r="M597" s="22" t="s">
        <v>86</v>
      </c>
      <c r="N597" s="24">
        <v>770.32</v>
      </c>
      <c r="O597" s="22">
        <f>YEAR(B597)</f>
        <v>2025</v>
      </c>
      <c r="P597" s="25">
        <f>DATE(YEAR(B597),MONTH(B597),1)</f>
        <v>45658</v>
      </c>
      <c r="Q597" s="22" t="str">
        <f>IF(N597&gt;Summary!$C$17,"Outlier","")</f>
        <v/>
      </c>
      <c r="R597" s="22" t="str">
        <f>IF(L597="","None",L597)</f>
        <v>SAVE10</v>
      </c>
    </row>
    <row r="598" spans="1:18" x14ac:dyDescent="0.2">
      <c r="A598" s="22" t="s">
        <v>2325</v>
      </c>
      <c r="B598" s="23">
        <v>45089</v>
      </c>
      <c r="C598" s="22" t="s">
        <v>2326</v>
      </c>
      <c r="D598" s="22" t="s">
        <v>66</v>
      </c>
      <c r="E598" s="22">
        <v>3</v>
      </c>
      <c r="F598" s="24">
        <v>606.41</v>
      </c>
      <c r="G598" s="22" t="s">
        <v>2327</v>
      </c>
      <c r="H598" s="22" t="s">
        <v>77</v>
      </c>
      <c r="I598" s="22" t="s">
        <v>72</v>
      </c>
      <c r="J598" s="22" t="s">
        <v>2328</v>
      </c>
      <c r="K598" s="22">
        <v>7</v>
      </c>
      <c r="L598" s="22" t="s">
        <v>82</v>
      </c>
      <c r="M598" s="22" t="s">
        <v>87</v>
      </c>
      <c r="N598" s="24">
        <v>1819.23</v>
      </c>
      <c r="O598" s="22">
        <f>YEAR(B598)</f>
        <v>2023</v>
      </c>
      <c r="P598" s="25">
        <f>DATE(YEAR(B598),MONTH(B598),1)</f>
        <v>45078</v>
      </c>
      <c r="Q598" s="22" t="str">
        <f>IF(N598&gt;Summary!$C$17,"Outlier","")</f>
        <v/>
      </c>
      <c r="R598" s="22" t="str">
        <f>IF(L598="","None",L598)</f>
        <v>FREESHIP</v>
      </c>
    </row>
    <row r="599" spans="1:18" x14ac:dyDescent="0.2">
      <c r="A599" s="22" t="s">
        <v>2329</v>
      </c>
      <c r="B599" s="23">
        <v>45621</v>
      </c>
      <c r="C599" s="22" t="s">
        <v>2330</v>
      </c>
      <c r="D599" s="22" t="s">
        <v>66</v>
      </c>
      <c r="E599" s="22">
        <v>2</v>
      </c>
      <c r="F599" s="24">
        <v>211.82</v>
      </c>
      <c r="G599" s="22" t="s">
        <v>2331</v>
      </c>
      <c r="H599" s="22" t="s">
        <v>78</v>
      </c>
      <c r="I599" s="22" t="s">
        <v>73</v>
      </c>
      <c r="J599" s="22" t="s">
        <v>2332</v>
      </c>
      <c r="K599" s="22">
        <v>4</v>
      </c>
      <c r="L599" s="22" t="s">
        <v>84</v>
      </c>
      <c r="M599" s="22" t="s">
        <v>86</v>
      </c>
      <c r="N599" s="24">
        <v>423.64</v>
      </c>
      <c r="O599" s="22">
        <f>YEAR(B599)</f>
        <v>2024</v>
      </c>
      <c r="P599" s="25">
        <f>DATE(YEAR(B599),MONTH(B599),1)</f>
        <v>45597</v>
      </c>
      <c r="Q599" s="22" t="str">
        <f>IF(N599&gt;Summary!$C$17,"Outlier","")</f>
        <v/>
      </c>
      <c r="R599" s="22" t="str">
        <f>IF(L599="","None",L599)</f>
        <v>WINTER15</v>
      </c>
    </row>
    <row r="600" spans="1:18" x14ac:dyDescent="0.2">
      <c r="A600" s="22" t="s">
        <v>2333</v>
      </c>
      <c r="B600" s="23">
        <v>45408</v>
      </c>
      <c r="C600" s="22" t="s">
        <v>2334</v>
      </c>
      <c r="D600" s="22" t="s">
        <v>66</v>
      </c>
      <c r="E600" s="22">
        <v>5</v>
      </c>
      <c r="F600" s="24">
        <v>495.35</v>
      </c>
      <c r="G600" s="22" t="s">
        <v>1419</v>
      </c>
      <c r="H600" s="22" t="s">
        <v>76</v>
      </c>
      <c r="I600" s="22" t="s">
        <v>71</v>
      </c>
      <c r="J600" s="22" t="s">
        <v>2335</v>
      </c>
      <c r="K600" s="22">
        <v>5</v>
      </c>
      <c r="L600" s="22"/>
      <c r="M600" s="22" t="s">
        <v>87</v>
      </c>
      <c r="N600" s="24">
        <v>2476.75</v>
      </c>
      <c r="O600" s="22">
        <f>YEAR(B600)</f>
        <v>2024</v>
      </c>
      <c r="P600" s="25">
        <f>DATE(YEAR(B600),MONTH(B600),1)</f>
        <v>45383</v>
      </c>
      <c r="Q600" s="22" t="str">
        <f>IF(N600&gt;Summary!$C$17,"Outlier","")</f>
        <v/>
      </c>
      <c r="R600" s="22" t="str">
        <f>IF(L600="","None",L600)</f>
        <v>None</v>
      </c>
    </row>
    <row r="601" spans="1:18" x14ac:dyDescent="0.2">
      <c r="A601" s="22" t="s">
        <v>2336</v>
      </c>
      <c r="B601" s="23">
        <v>45107</v>
      </c>
      <c r="C601" s="22" t="s">
        <v>2337</v>
      </c>
      <c r="D601" s="22" t="s">
        <v>61</v>
      </c>
      <c r="E601" s="22">
        <v>3</v>
      </c>
      <c r="F601" s="24">
        <v>556.99</v>
      </c>
      <c r="G601" s="22" t="s">
        <v>1684</v>
      </c>
      <c r="H601" s="22" t="s">
        <v>79</v>
      </c>
      <c r="I601" s="22" t="s">
        <v>73</v>
      </c>
      <c r="J601" s="22" t="s">
        <v>2338</v>
      </c>
      <c r="K601" s="22">
        <v>4</v>
      </c>
      <c r="L601" s="22" t="s">
        <v>82</v>
      </c>
      <c r="M601" s="22" t="s">
        <v>87</v>
      </c>
      <c r="N601" s="24">
        <v>1670.97</v>
      </c>
      <c r="O601" s="22">
        <f>YEAR(B601)</f>
        <v>2023</v>
      </c>
      <c r="P601" s="25">
        <f>DATE(YEAR(B601),MONTH(B601),1)</f>
        <v>45078</v>
      </c>
      <c r="Q601" s="22" t="str">
        <f>IF(N601&gt;Summary!$C$17,"Outlier","")</f>
        <v/>
      </c>
      <c r="R601" s="22" t="str">
        <f>IF(L601="","None",L601)</f>
        <v>FREESHIP</v>
      </c>
    </row>
    <row r="602" spans="1:18" x14ac:dyDescent="0.2">
      <c r="A602" s="22" t="s">
        <v>2339</v>
      </c>
      <c r="B602" s="23">
        <v>45072</v>
      </c>
      <c r="C602" s="22" t="s">
        <v>2340</v>
      </c>
      <c r="D602" s="22" t="s">
        <v>62</v>
      </c>
      <c r="E602" s="22">
        <v>1</v>
      </c>
      <c r="F602" s="24">
        <v>72.31</v>
      </c>
      <c r="G602" s="22" t="s">
        <v>1124</v>
      </c>
      <c r="H602" s="22" t="s">
        <v>78</v>
      </c>
      <c r="I602" s="22" t="s">
        <v>73</v>
      </c>
      <c r="J602" s="22" t="s">
        <v>2341</v>
      </c>
      <c r="K602" s="22">
        <v>1</v>
      </c>
      <c r="L602" s="22" t="s">
        <v>82</v>
      </c>
      <c r="M602" s="22" t="s">
        <v>87</v>
      </c>
      <c r="N602" s="24">
        <v>72.31</v>
      </c>
      <c r="O602" s="22">
        <f>YEAR(B602)</f>
        <v>2023</v>
      </c>
      <c r="P602" s="25">
        <f>DATE(YEAR(B602),MONTH(B602),1)</f>
        <v>45047</v>
      </c>
      <c r="Q602" s="22" t="str">
        <f>IF(N602&gt;Summary!$C$17,"Outlier","")</f>
        <v/>
      </c>
      <c r="R602" s="22" t="str">
        <f>IF(L602="","None",L602)</f>
        <v>FREESHIP</v>
      </c>
    </row>
    <row r="603" spans="1:18" x14ac:dyDescent="0.2">
      <c r="A603" s="22" t="s">
        <v>2342</v>
      </c>
      <c r="B603" s="23">
        <v>45201</v>
      </c>
      <c r="C603" s="22" t="s">
        <v>2343</v>
      </c>
      <c r="D603" s="22" t="s">
        <v>65</v>
      </c>
      <c r="E603" s="22">
        <v>5</v>
      </c>
      <c r="F603" s="24">
        <v>24.82</v>
      </c>
      <c r="G603" s="22" t="s">
        <v>2344</v>
      </c>
      <c r="H603" s="22" t="s">
        <v>76</v>
      </c>
      <c r="I603" s="22" t="s">
        <v>70</v>
      </c>
      <c r="J603" s="22" t="s">
        <v>2345</v>
      </c>
      <c r="K603" s="22">
        <v>10</v>
      </c>
      <c r="L603" s="22"/>
      <c r="M603" s="22" t="s">
        <v>90</v>
      </c>
      <c r="N603" s="24">
        <v>124.1</v>
      </c>
      <c r="O603" s="22">
        <f>YEAR(B603)</f>
        <v>2023</v>
      </c>
      <c r="P603" s="25">
        <f>DATE(YEAR(B603),MONTH(B603),1)</f>
        <v>45200</v>
      </c>
      <c r="Q603" s="22" t="str">
        <f>IF(N603&gt;Summary!$C$17,"Outlier","")</f>
        <v/>
      </c>
      <c r="R603" s="22" t="str">
        <f>IF(L603="","None",L603)</f>
        <v>None</v>
      </c>
    </row>
    <row r="604" spans="1:18" x14ac:dyDescent="0.2">
      <c r="A604" s="22" t="s">
        <v>2346</v>
      </c>
      <c r="B604" s="23">
        <v>45356</v>
      </c>
      <c r="C604" s="22" t="s">
        <v>1932</v>
      </c>
      <c r="D604" s="22" t="s">
        <v>64</v>
      </c>
      <c r="E604" s="22">
        <v>4</v>
      </c>
      <c r="F604" s="24">
        <v>26.04</v>
      </c>
      <c r="G604" s="22" t="s">
        <v>1936</v>
      </c>
      <c r="H604" s="22" t="s">
        <v>79</v>
      </c>
      <c r="I604" s="22" t="s">
        <v>71</v>
      </c>
      <c r="J604" s="22" t="s">
        <v>2347</v>
      </c>
      <c r="K604" s="22">
        <v>5</v>
      </c>
      <c r="L604" s="22" t="s">
        <v>83</v>
      </c>
      <c r="M604" s="22" t="s">
        <v>89</v>
      </c>
      <c r="N604" s="24">
        <v>104.16</v>
      </c>
      <c r="O604" s="22">
        <f>YEAR(B604)</f>
        <v>2024</v>
      </c>
      <c r="P604" s="25">
        <f>DATE(YEAR(B604),MONTH(B604),1)</f>
        <v>45352</v>
      </c>
      <c r="Q604" s="22" t="str">
        <f>IF(N604&gt;Summary!$C$17,"Outlier","")</f>
        <v/>
      </c>
      <c r="R604" s="22" t="str">
        <f>IF(L604="","None",L604)</f>
        <v>SAVE10</v>
      </c>
    </row>
    <row r="605" spans="1:18" x14ac:dyDescent="0.2">
      <c r="A605" s="22" t="s">
        <v>2348</v>
      </c>
      <c r="B605" s="23">
        <v>45569</v>
      </c>
      <c r="C605" s="22" t="s">
        <v>2349</v>
      </c>
      <c r="D605" s="22" t="s">
        <v>64</v>
      </c>
      <c r="E605" s="22">
        <v>1</v>
      </c>
      <c r="F605" s="24">
        <v>657.07</v>
      </c>
      <c r="G605" s="22" t="s">
        <v>2350</v>
      </c>
      <c r="H605" s="22" t="s">
        <v>75</v>
      </c>
      <c r="I605" s="22" t="s">
        <v>71</v>
      </c>
      <c r="J605" s="22" t="s">
        <v>2351</v>
      </c>
      <c r="K605" s="22">
        <v>4</v>
      </c>
      <c r="L605" s="22" t="s">
        <v>83</v>
      </c>
      <c r="M605" s="22" t="s">
        <v>88</v>
      </c>
      <c r="N605" s="24">
        <v>657.07</v>
      </c>
      <c r="O605" s="22">
        <f>YEAR(B605)</f>
        <v>2024</v>
      </c>
      <c r="P605" s="25">
        <f>DATE(YEAR(B605),MONTH(B605),1)</f>
        <v>45566</v>
      </c>
      <c r="Q605" s="22" t="str">
        <f>IF(N605&gt;Summary!$C$17,"Outlier","")</f>
        <v/>
      </c>
      <c r="R605" s="22" t="str">
        <f>IF(L605="","None",L605)</f>
        <v>SAVE10</v>
      </c>
    </row>
    <row r="606" spans="1:18" x14ac:dyDescent="0.2">
      <c r="A606" s="22" t="s">
        <v>2352</v>
      </c>
      <c r="B606" s="23">
        <v>45830</v>
      </c>
      <c r="C606" s="22" t="s">
        <v>2353</v>
      </c>
      <c r="D606" s="22" t="s">
        <v>61</v>
      </c>
      <c r="E606" s="22">
        <v>3</v>
      </c>
      <c r="F606" s="24">
        <v>32.619999999999997</v>
      </c>
      <c r="G606" s="22" t="s">
        <v>1260</v>
      </c>
      <c r="H606" s="22" t="s">
        <v>77</v>
      </c>
      <c r="I606" s="22" t="s">
        <v>69</v>
      </c>
      <c r="J606" s="22" t="s">
        <v>2354</v>
      </c>
      <c r="K606" s="22">
        <v>6</v>
      </c>
      <c r="L606" s="22"/>
      <c r="M606" s="22" t="s">
        <v>87</v>
      </c>
      <c r="N606" s="24">
        <v>97.86</v>
      </c>
      <c r="O606" s="22">
        <f>YEAR(B606)</f>
        <v>2025</v>
      </c>
      <c r="P606" s="25">
        <f>DATE(YEAR(B606),MONTH(B606),1)</f>
        <v>45809</v>
      </c>
      <c r="Q606" s="22" t="str">
        <f>IF(N606&gt;Summary!$C$17,"Outlier","")</f>
        <v/>
      </c>
      <c r="R606" s="22" t="str">
        <f>IF(L606="","None",L606)</f>
        <v>None</v>
      </c>
    </row>
    <row r="607" spans="1:18" x14ac:dyDescent="0.2">
      <c r="A607" s="22" t="s">
        <v>2355</v>
      </c>
      <c r="B607" s="23">
        <v>45422</v>
      </c>
      <c r="C607" s="22" t="s">
        <v>2356</v>
      </c>
      <c r="D607" s="22" t="s">
        <v>65</v>
      </c>
      <c r="E607" s="22">
        <v>2</v>
      </c>
      <c r="F607" s="24">
        <v>228.91</v>
      </c>
      <c r="G607" s="22" t="s">
        <v>2357</v>
      </c>
      <c r="H607" s="22" t="s">
        <v>77</v>
      </c>
      <c r="I607" s="22" t="s">
        <v>70</v>
      </c>
      <c r="J607" s="22" t="s">
        <v>2358</v>
      </c>
      <c r="K607" s="22">
        <v>4</v>
      </c>
      <c r="L607" s="22" t="s">
        <v>83</v>
      </c>
      <c r="M607" s="22" t="s">
        <v>90</v>
      </c>
      <c r="N607" s="24">
        <v>457.82</v>
      </c>
      <c r="O607" s="22">
        <f>YEAR(B607)</f>
        <v>2024</v>
      </c>
      <c r="P607" s="25">
        <f>DATE(YEAR(B607),MONTH(B607),1)</f>
        <v>45413</v>
      </c>
      <c r="Q607" s="22" t="str">
        <f>IF(N607&gt;Summary!$C$17,"Outlier","")</f>
        <v/>
      </c>
      <c r="R607" s="22" t="str">
        <f>IF(L607="","None",L607)</f>
        <v>SAVE10</v>
      </c>
    </row>
    <row r="608" spans="1:18" x14ac:dyDescent="0.2">
      <c r="A608" s="22" t="s">
        <v>2359</v>
      </c>
      <c r="B608" s="23">
        <v>45602</v>
      </c>
      <c r="C608" s="22" t="s">
        <v>2360</v>
      </c>
      <c r="D608" s="22" t="s">
        <v>63</v>
      </c>
      <c r="E608" s="22">
        <v>3</v>
      </c>
      <c r="F608" s="24">
        <v>274.75</v>
      </c>
      <c r="G608" s="22" t="s">
        <v>1033</v>
      </c>
      <c r="H608" s="22" t="s">
        <v>75</v>
      </c>
      <c r="I608" s="22" t="s">
        <v>73</v>
      </c>
      <c r="J608" s="22" t="s">
        <v>2361</v>
      </c>
      <c r="K608" s="22">
        <v>3</v>
      </c>
      <c r="L608" s="22" t="s">
        <v>83</v>
      </c>
      <c r="M608" s="22" t="s">
        <v>88</v>
      </c>
      <c r="N608" s="24">
        <v>824.25</v>
      </c>
      <c r="O608" s="22">
        <f>YEAR(B608)</f>
        <v>2024</v>
      </c>
      <c r="P608" s="25">
        <f>DATE(YEAR(B608),MONTH(B608),1)</f>
        <v>45597</v>
      </c>
      <c r="Q608" s="22" t="str">
        <f>IF(N608&gt;Summary!$C$17,"Outlier","")</f>
        <v/>
      </c>
      <c r="R608" s="22" t="str">
        <f>IF(L608="","None",L608)</f>
        <v>SAVE10</v>
      </c>
    </row>
    <row r="609" spans="1:18" x14ac:dyDescent="0.2">
      <c r="A609" s="22" t="s">
        <v>2362</v>
      </c>
      <c r="B609" s="23">
        <v>45808</v>
      </c>
      <c r="C609" s="22" t="s">
        <v>2363</v>
      </c>
      <c r="D609" s="22" t="s">
        <v>62</v>
      </c>
      <c r="E609" s="22">
        <v>4</v>
      </c>
      <c r="F609" s="24">
        <v>634.04999999999995</v>
      </c>
      <c r="G609" s="22" t="s">
        <v>2364</v>
      </c>
      <c r="H609" s="22" t="s">
        <v>75</v>
      </c>
      <c r="I609" s="22" t="s">
        <v>70</v>
      </c>
      <c r="J609" s="22" t="s">
        <v>2365</v>
      </c>
      <c r="K609" s="22">
        <v>6</v>
      </c>
      <c r="L609" s="22" t="s">
        <v>83</v>
      </c>
      <c r="M609" s="22" t="s">
        <v>88</v>
      </c>
      <c r="N609" s="24">
        <v>2536.1999999999998</v>
      </c>
      <c r="O609" s="22">
        <f>YEAR(B609)</f>
        <v>2025</v>
      </c>
      <c r="P609" s="25">
        <f>DATE(YEAR(B609),MONTH(B609),1)</f>
        <v>45778</v>
      </c>
      <c r="Q609" s="22" t="str">
        <f>IF(N609&gt;Summary!$C$17,"Outlier","")</f>
        <v/>
      </c>
      <c r="R609" s="22" t="str">
        <f>IF(L609="","None",L609)</f>
        <v>SAVE10</v>
      </c>
    </row>
    <row r="610" spans="1:18" x14ac:dyDescent="0.2">
      <c r="A610" s="22" t="s">
        <v>2366</v>
      </c>
      <c r="B610" s="23">
        <v>45497</v>
      </c>
      <c r="C610" s="22" t="s">
        <v>2367</v>
      </c>
      <c r="D610" s="22" t="s">
        <v>63</v>
      </c>
      <c r="E610" s="22">
        <v>5</v>
      </c>
      <c r="F610" s="24">
        <v>543.16</v>
      </c>
      <c r="G610" s="22" t="s">
        <v>2368</v>
      </c>
      <c r="H610" s="22" t="s">
        <v>79</v>
      </c>
      <c r="I610" s="22" t="s">
        <v>73</v>
      </c>
      <c r="J610" s="22" t="s">
        <v>2369</v>
      </c>
      <c r="K610" s="22">
        <v>6</v>
      </c>
      <c r="L610" s="22" t="s">
        <v>83</v>
      </c>
      <c r="M610" s="22" t="s">
        <v>89</v>
      </c>
      <c r="N610" s="24">
        <v>2715.8</v>
      </c>
      <c r="O610" s="22">
        <f>YEAR(B610)</f>
        <v>2024</v>
      </c>
      <c r="P610" s="25">
        <f>DATE(YEAR(B610),MONTH(B610),1)</f>
        <v>45474</v>
      </c>
      <c r="Q610" s="22" t="str">
        <f>IF(N610&gt;Summary!$C$17,"Outlier","")</f>
        <v/>
      </c>
      <c r="R610" s="22" t="str">
        <f>IF(L610="","None",L610)</f>
        <v>SAVE10</v>
      </c>
    </row>
    <row r="611" spans="1:18" x14ac:dyDescent="0.2">
      <c r="A611" s="22" t="s">
        <v>2370</v>
      </c>
      <c r="B611" s="23">
        <v>45684</v>
      </c>
      <c r="C611" s="22" t="s">
        <v>2371</v>
      </c>
      <c r="D611" s="22" t="s">
        <v>61</v>
      </c>
      <c r="E611" s="22">
        <v>3</v>
      </c>
      <c r="F611" s="24">
        <v>449.13</v>
      </c>
      <c r="G611" s="22" t="s">
        <v>2372</v>
      </c>
      <c r="H611" s="22" t="s">
        <v>75</v>
      </c>
      <c r="I611" s="22" t="s">
        <v>72</v>
      </c>
      <c r="J611" s="22" t="s">
        <v>2373</v>
      </c>
      <c r="K611" s="22">
        <v>5</v>
      </c>
      <c r="L611" s="22" t="s">
        <v>84</v>
      </c>
      <c r="M611" s="22" t="s">
        <v>90</v>
      </c>
      <c r="N611" s="24">
        <v>1347.39</v>
      </c>
      <c r="O611" s="22">
        <f>YEAR(B611)</f>
        <v>2025</v>
      </c>
      <c r="P611" s="25">
        <f>DATE(YEAR(B611),MONTH(B611),1)</f>
        <v>45658</v>
      </c>
      <c r="Q611" s="22" t="str">
        <f>IF(N611&gt;Summary!$C$17,"Outlier","")</f>
        <v/>
      </c>
      <c r="R611" s="22" t="str">
        <f>IF(L611="","None",L611)</f>
        <v>WINTER15</v>
      </c>
    </row>
    <row r="612" spans="1:18" x14ac:dyDescent="0.2">
      <c r="A612" s="22" t="s">
        <v>2374</v>
      </c>
      <c r="B612" s="23">
        <v>45459</v>
      </c>
      <c r="C612" s="22" t="s">
        <v>2375</v>
      </c>
      <c r="D612" s="22" t="s">
        <v>66</v>
      </c>
      <c r="E612" s="22">
        <v>5</v>
      </c>
      <c r="F612" s="24">
        <v>389.62</v>
      </c>
      <c r="G612" s="22" t="s">
        <v>331</v>
      </c>
      <c r="H612" s="22" t="s">
        <v>75</v>
      </c>
      <c r="I612" s="22" t="s">
        <v>72</v>
      </c>
      <c r="J612" s="22" t="s">
        <v>2376</v>
      </c>
      <c r="K612" s="22">
        <v>7</v>
      </c>
      <c r="L612" s="22" t="s">
        <v>82</v>
      </c>
      <c r="M612" s="22" t="s">
        <v>87</v>
      </c>
      <c r="N612" s="24">
        <v>1948.1</v>
      </c>
      <c r="O612" s="22">
        <f>YEAR(B612)</f>
        <v>2024</v>
      </c>
      <c r="P612" s="25">
        <f>DATE(YEAR(B612),MONTH(B612),1)</f>
        <v>45444</v>
      </c>
      <c r="Q612" s="22" t="str">
        <f>IF(N612&gt;Summary!$C$17,"Outlier","")</f>
        <v/>
      </c>
      <c r="R612" s="22" t="str">
        <f>IF(L612="","None",L612)</f>
        <v>FREESHIP</v>
      </c>
    </row>
    <row r="613" spans="1:18" x14ac:dyDescent="0.2">
      <c r="A613" s="22" t="s">
        <v>2377</v>
      </c>
      <c r="B613" s="23">
        <v>45037</v>
      </c>
      <c r="C613" s="22" t="s">
        <v>2378</v>
      </c>
      <c r="D613" s="22" t="s">
        <v>66</v>
      </c>
      <c r="E613" s="22">
        <v>1</v>
      </c>
      <c r="F613" s="24">
        <v>305.17</v>
      </c>
      <c r="G613" s="22" t="s">
        <v>2331</v>
      </c>
      <c r="H613" s="22" t="s">
        <v>78</v>
      </c>
      <c r="I613" s="22" t="s">
        <v>72</v>
      </c>
      <c r="J613" s="22" t="s">
        <v>2379</v>
      </c>
      <c r="K613" s="22">
        <v>3</v>
      </c>
      <c r="L613" s="22" t="s">
        <v>84</v>
      </c>
      <c r="M613" s="22" t="s">
        <v>90</v>
      </c>
      <c r="N613" s="24">
        <v>305.17</v>
      </c>
      <c r="O613" s="22">
        <f>YEAR(B613)</f>
        <v>2023</v>
      </c>
      <c r="P613" s="25">
        <f>DATE(YEAR(B613),MONTH(B613),1)</f>
        <v>45017</v>
      </c>
      <c r="Q613" s="22" t="str">
        <f>IF(N613&gt;Summary!$C$17,"Outlier","")</f>
        <v/>
      </c>
      <c r="R613" s="22" t="str">
        <f>IF(L613="","None",L613)</f>
        <v>WINTER15</v>
      </c>
    </row>
    <row r="614" spans="1:18" x14ac:dyDescent="0.2">
      <c r="A614" s="22" t="s">
        <v>2380</v>
      </c>
      <c r="B614" s="23">
        <v>45079</v>
      </c>
      <c r="C614" s="22" t="s">
        <v>2381</v>
      </c>
      <c r="D614" s="22" t="s">
        <v>61</v>
      </c>
      <c r="E614" s="22">
        <v>3</v>
      </c>
      <c r="F614" s="24">
        <v>445.12</v>
      </c>
      <c r="G614" s="22" t="s">
        <v>1337</v>
      </c>
      <c r="H614" s="22" t="s">
        <v>78</v>
      </c>
      <c r="I614" s="22" t="s">
        <v>73</v>
      </c>
      <c r="J614" s="22" t="s">
        <v>2382</v>
      </c>
      <c r="K614" s="22">
        <v>8</v>
      </c>
      <c r="L614" s="22"/>
      <c r="M614" s="22" t="s">
        <v>88</v>
      </c>
      <c r="N614" s="24">
        <v>1335.36</v>
      </c>
      <c r="O614" s="22">
        <f>YEAR(B614)</f>
        <v>2023</v>
      </c>
      <c r="P614" s="25">
        <f>DATE(YEAR(B614),MONTH(B614),1)</f>
        <v>45078</v>
      </c>
      <c r="Q614" s="22" t="str">
        <f>IF(N614&gt;Summary!$C$17,"Outlier","")</f>
        <v/>
      </c>
      <c r="R614" s="22" t="str">
        <f>IF(L614="","None",L614)</f>
        <v>None</v>
      </c>
    </row>
    <row r="615" spans="1:18" x14ac:dyDescent="0.2">
      <c r="A615" s="22" t="s">
        <v>2383</v>
      </c>
      <c r="B615" s="23">
        <v>45645</v>
      </c>
      <c r="C615" s="22" t="s">
        <v>2384</v>
      </c>
      <c r="D615" s="22" t="s">
        <v>63</v>
      </c>
      <c r="E615" s="22">
        <v>2</v>
      </c>
      <c r="F615" s="24">
        <v>230.36</v>
      </c>
      <c r="G615" s="22" t="s">
        <v>2385</v>
      </c>
      <c r="H615" s="22" t="s">
        <v>79</v>
      </c>
      <c r="I615" s="22" t="s">
        <v>72</v>
      </c>
      <c r="J615" s="22" t="s">
        <v>2386</v>
      </c>
      <c r="K615" s="22">
        <v>4</v>
      </c>
      <c r="L615" s="22" t="s">
        <v>84</v>
      </c>
      <c r="M615" s="22" t="s">
        <v>86</v>
      </c>
      <c r="N615" s="24">
        <v>460.72</v>
      </c>
      <c r="O615" s="22">
        <f>YEAR(B615)</f>
        <v>2024</v>
      </c>
      <c r="P615" s="25">
        <f>DATE(YEAR(B615),MONTH(B615),1)</f>
        <v>45627</v>
      </c>
      <c r="Q615" s="22" t="str">
        <f>IF(N615&gt;Summary!$C$17,"Outlier","")</f>
        <v/>
      </c>
      <c r="R615" s="22" t="str">
        <f>IF(L615="","None",L615)</f>
        <v>WINTER15</v>
      </c>
    </row>
    <row r="616" spans="1:18" x14ac:dyDescent="0.2">
      <c r="A616" s="22" t="s">
        <v>2387</v>
      </c>
      <c r="B616" s="23">
        <v>45359</v>
      </c>
      <c r="C616" s="22" t="s">
        <v>2388</v>
      </c>
      <c r="D616" s="22" t="s">
        <v>67</v>
      </c>
      <c r="E616" s="22">
        <v>1</v>
      </c>
      <c r="F616" s="24">
        <v>96.81</v>
      </c>
      <c r="G616" s="22" t="s">
        <v>583</v>
      </c>
      <c r="H616" s="22" t="s">
        <v>78</v>
      </c>
      <c r="I616" s="22" t="s">
        <v>73</v>
      </c>
      <c r="J616" s="22" t="s">
        <v>2389</v>
      </c>
      <c r="K616" s="22">
        <v>3</v>
      </c>
      <c r="L616" s="22"/>
      <c r="M616" s="22" t="s">
        <v>90</v>
      </c>
      <c r="N616" s="24">
        <v>96.81</v>
      </c>
      <c r="O616" s="22">
        <f>YEAR(B616)</f>
        <v>2024</v>
      </c>
      <c r="P616" s="25">
        <f>DATE(YEAR(B616),MONTH(B616),1)</f>
        <v>45352</v>
      </c>
      <c r="Q616" s="22" t="str">
        <f>IF(N616&gt;Summary!$C$17,"Outlier","")</f>
        <v/>
      </c>
      <c r="R616" s="22" t="str">
        <f>IF(L616="","None",L616)</f>
        <v>None</v>
      </c>
    </row>
    <row r="617" spans="1:18" x14ac:dyDescent="0.2">
      <c r="A617" s="22" t="s">
        <v>2390</v>
      </c>
      <c r="B617" s="23">
        <v>45723</v>
      </c>
      <c r="C617" s="22" t="s">
        <v>2391</v>
      </c>
      <c r="D617" s="22" t="s">
        <v>65</v>
      </c>
      <c r="E617" s="22">
        <v>5</v>
      </c>
      <c r="F617" s="24">
        <v>460.14</v>
      </c>
      <c r="G617" s="22" t="s">
        <v>1260</v>
      </c>
      <c r="H617" s="22" t="s">
        <v>76</v>
      </c>
      <c r="I617" s="22" t="s">
        <v>72</v>
      </c>
      <c r="J617" s="22" t="s">
        <v>2392</v>
      </c>
      <c r="K617" s="22">
        <v>10</v>
      </c>
      <c r="L617" s="22" t="s">
        <v>84</v>
      </c>
      <c r="M617" s="22" t="s">
        <v>87</v>
      </c>
      <c r="N617" s="24">
        <v>2300.6999999999998</v>
      </c>
      <c r="O617" s="22">
        <f>YEAR(B617)</f>
        <v>2025</v>
      </c>
      <c r="P617" s="25">
        <f>DATE(YEAR(B617),MONTH(B617),1)</f>
        <v>45717</v>
      </c>
      <c r="Q617" s="22" t="str">
        <f>IF(N617&gt;Summary!$C$17,"Outlier","")</f>
        <v/>
      </c>
      <c r="R617" s="22" t="str">
        <f>IF(L617="","None",L617)</f>
        <v>WINTER15</v>
      </c>
    </row>
    <row r="618" spans="1:18" x14ac:dyDescent="0.2">
      <c r="A618" s="22" t="s">
        <v>2393</v>
      </c>
      <c r="B618" s="23">
        <v>45582</v>
      </c>
      <c r="C618" s="22" t="s">
        <v>2394</v>
      </c>
      <c r="D618" s="22" t="s">
        <v>64</v>
      </c>
      <c r="E618" s="22">
        <v>3</v>
      </c>
      <c r="F618" s="24">
        <v>601.6</v>
      </c>
      <c r="G618" s="22" t="s">
        <v>2395</v>
      </c>
      <c r="H618" s="22" t="s">
        <v>76</v>
      </c>
      <c r="I618" s="22" t="s">
        <v>73</v>
      </c>
      <c r="J618" s="22" t="s">
        <v>2396</v>
      </c>
      <c r="K618" s="22">
        <v>7</v>
      </c>
      <c r="L618" s="22" t="s">
        <v>83</v>
      </c>
      <c r="M618" s="22" t="s">
        <v>87</v>
      </c>
      <c r="N618" s="24">
        <v>1804.8</v>
      </c>
      <c r="O618" s="22">
        <f>YEAR(B618)</f>
        <v>2024</v>
      </c>
      <c r="P618" s="25">
        <f>DATE(YEAR(B618),MONTH(B618),1)</f>
        <v>45566</v>
      </c>
      <c r="Q618" s="22" t="str">
        <f>IF(N618&gt;Summary!$C$17,"Outlier","")</f>
        <v/>
      </c>
      <c r="R618" s="22" t="str">
        <f>IF(L618="","None",L618)</f>
        <v>SAVE10</v>
      </c>
    </row>
    <row r="619" spans="1:18" x14ac:dyDescent="0.2">
      <c r="A619" s="22" t="s">
        <v>2397</v>
      </c>
      <c r="B619" s="23">
        <v>45330</v>
      </c>
      <c r="C619" s="22" t="s">
        <v>2398</v>
      </c>
      <c r="D619" s="22" t="s">
        <v>64</v>
      </c>
      <c r="E619" s="22">
        <v>3</v>
      </c>
      <c r="F619" s="24">
        <v>184.47</v>
      </c>
      <c r="G619" s="22" t="s">
        <v>2399</v>
      </c>
      <c r="H619" s="22" t="s">
        <v>79</v>
      </c>
      <c r="I619" s="22" t="s">
        <v>73</v>
      </c>
      <c r="J619" s="22" t="s">
        <v>2400</v>
      </c>
      <c r="K619" s="22">
        <v>4</v>
      </c>
      <c r="L619" s="22"/>
      <c r="M619" s="22" t="s">
        <v>90</v>
      </c>
      <c r="N619" s="24">
        <v>553.41</v>
      </c>
      <c r="O619" s="22">
        <f>YEAR(B619)</f>
        <v>2024</v>
      </c>
      <c r="P619" s="25">
        <f>DATE(YEAR(B619),MONTH(B619),1)</f>
        <v>45323</v>
      </c>
      <c r="Q619" s="22" t="str">
        <f>IF(N619&gt;Summary!$C$17,"Outlier","")</f>
        <v/>
      </c>
      <c r="R619" s="22" t="str">
        <f>IF(L619="","None",L619)</f>
        <v>None</v>
      </c>
    </row>
    <row r="620" spans="1:18" x14ac:dyDescent="0.2">
      <c r="A620" s="22" t="s">
        <v>2401</v>
      </c>
      <c r="B620" s="23">
        <v>45538</v>
      </c>
      <c r="C620" s="22" t="s">
        <v>2402</v>
      </c>
      <c r="D620" s="22" t="s">
        <v>64</v>
      </c>
      <c r="E620" s="22">
        <v>1</v>
      </c>
      <c r="F620" s="24">
        <v>411.34</v>
      </c>
      <c r="G620" s="22" t="s">
        <v>2403</v>
      </c>
      <c r="H620" s="22" t="s">
        <v>77</v>
      </c>
      <c r="I620" s="22" t="s">
        <v>72</v>
      </c>
      <c r="J620" s="22" t="s">
        <v>2404</v>
      </c>
      <c r="K620" s="22">
        <v>5</v>
      </c>
      <c r="L620" s="22"/>
      <c r="M620" s="22" t="s">
        <v>89</v>
      </c>
      <c r="N620" s="24">
        <v>411.34</v>
      </c>
      <c r="O620" s="22">
        <f>YEAR(B620)</f>
        <v>2024</v>
      </c>
      <c r="P620" s="25">
        <f>DATE(YEAR(B620),MONTH(B620),1)</f>
        <v>45536</v>
      </c>
      <c r="Q620" s="22" t="str">
        <f>IF(N620&gt;Summary!$C$17,"Outlier","")</f>
        <v/>
      </c>
      <c r="R620" s="22" t="str">
        <f>IF(L620="","None",L620)</f>
        <v>None</v>
      </c>
    </row>
    <row r="621" spans="1:18" x14ac:dyDescent="0.2">
      <c r="A621" s="22" t="s">
        <v>2405</v>
      </c>
      <c r="B621" s="23">
        <v>45489</v>
      </c>
      <c r="C621" s="22" t="s">
        <v>2406</v>
      </c>
      <c r="D621" s="22" t="s">
        <v>63</v>
      </c>
      <c r="E621" s="22">
        <v>1</v>
      </c>
      <c r="F621" s="24">
        <v>532.89</v>
      </c>
      <c r="G621" s="22" t="s">
        <v>1943</v>
      </c>
      <c r="H621" s="22" t="s">
        <v>78</v>
      </c>
      <c r="I621" s="22" t="s">
        <v>71</v>
      </c>
      <c r="J621" s="22" t="s">
        <v>2407</v>
      </c>
      <c r="K621" s="22">
        <v>2</v>
      </c>
      <c r="L621" s="22"/>
      <c r="M621" s="22" t="s">
        <v>90</v>
      </c>
      <c r="N621" s="24">
        <v>532.89</v>
      </c>
      <c r="O621" s="22">
        <f>YEAR(B621)</f>
        <v>2024</v>
      </c>
      <c r="P621" s="25">
        <f>DATE(YEAR(B621),MONTH(B621),1)</f>
        <v>45474</v>
      </c>
      <c r="Q621" s="22" t="str">
        <f>IF(N621&gt;Summary!$C$17,"Outlier","")</f>
        <v/>
      </c>
      <c r="R621" s="22" t="str">
        <f>IF(L621="","None",L621)</f>
        <v>None</v>
      </c>
    </row>
    <row r="622" spans="1:18" x14ac:dyDescent="0.2">
      <c r="A622" s="22" t="s">
        <v>2408</v>
      </c>
      <c r="B622" s="23">
        <v>45378</v>
      </c>
      <c r="C622" s="22" t="s">
        <v>2409</v>
      </c>
      <c r="D622" s="22" t="s">
        <v>64</v>
      </c>
      <c r="E622" s="22">
        <v>3</v>
      </c>
      <c r="F622" s="24">
        <v>136.34</v>
      </c>
      <c r="G622" s="22" t="s">
        <v>2410</v>
      </c>
      <c r="H622" s="22" t="s">
        <v>77</v>
      </c>
      <c r="I622" s="22" t="s">
        <v>72</v>
      </c>
      <c r="J622" s="22" t="s">
        <v>2411</v>
      </c>
      <c r="K622" s="22">
        <v>8</v>
      </c>
      <c r="L622" s="22" t="s">
        <v>83</v>
      </c>
      <c r="M622" s="22" t="s">
        <v>90</v>
      </c>
      <c r="N622" s="24">
        <v>409.02</v>
      </c>
      <c r="O622" s="22">
        <f>YEAR(B622)</f>
        <v>2024</v>
      </c>
      <c r="P622" s="25">
        <f>DATE(YEAR(B622),MONTH(B622),1)</f>
        <v>45352</v>
      </c>
      <c r="Q622" s="22" t="str">
        <f>IF(N622&gt;Summary!$C$17,"Outlier","")</f>
        <v/>
      </c>
      <c r="R622" s="22" t="str">
        <f>IF(L622="","None",L622)</f>
        <v>SAVE10</v>
      </c>
    </row>
    <row r="623" spans="1:18" x14ac:dyDescent="0.2">
      <c r="A623" s="22" t="s">
        <v>2412</v>
      </c>
      <c r="B623" s="23">
        <v>45221</v>
      </c>
      <c r="C623" s="22" t="s">
        <v>2413</v>
      </c>
      <c r="D623" s="22" t="s">
        <v>67</v>
      </c>
      <c r="E623" s="22">
        <v>5</v>
      </c>
      <c r="F623" s="24">
        <v>476.01</v>
      </c>
      <c r="G623" s="22" t="s">
        <v>425</v>
      </c>
      <c r="H623" s="22" t="s">
        <v>76</v>
      </c>
      <c r="I623" s="22" t="s">
        <v>69</v>
      </c>
      <c r="J623" s="22" t="s">
        <v>2414</v>
      </c>
      <c r="K623" s="22">
        <v>7</v>
      </c>
      <c r="L623" s="22" t="s">
        <v>84</v>
      </c>
      <c r="M623" s="22" t="s">
        <v>88</v>
      </c>
      <c r="N623" s="24">
        <v>2380.0500000000002</v>
      </c>
      <c r="O623" s="22">
        <f>YEAR(B623)</f>
        <v>2023</v>
      </c>
      <c r="P623" s="25">
        <f>DATE(YEAR(B623),MONTH(B623),1)</f>
        <v>45200</v>
      </c>
      <c r="Q623" s="22" t="str">
        <f>IF(N623&gt;Summary!$C$17,"Outlier","")</f>
        <v/>
      </c>
      <c r="R623" s="22" t="str">
        <f>IF(L623="","None",L623)</f>
        <v>WINTER15</v>
      </c>
    </row>
    <row r="624" spans="1:18" x14ac:dyDescent="0.2">
      <c r="A624" s="22" t="s">
        <v>2415</v>
      </c>
      <c r="B624" s="23">
        <v>45598</v>
      </c>
      <c r="C624" s="22" t="s">
        <v>2416</v>
      </c>
      <c r="D624" s="22" t="s">
        <v>66</v>
      </c>
      <c r="E624" s="22">
        <v>5</v>
      </c>
      <c r="F624" s="24">
        <v>236.38</v>
      </c>
      <c r="G624" s="22" t="s">
        <v>259</v>
      </c>
      <c r="H624" s="22" t="s">
        <v>76</v>
      </c>
      <c r="I624" s="22" t="s">
        <v>72</v>
      </c>
      <c r="J624" s="22" t="s">
        <v>2417</v>
      </c>
      <c r="K624" s="22">
        <v>7</v>
      </c>
      <c r="L624" s="22"/>
      <c r="M624" s="22" t="s">
        <v>87</v>
      </c>
      <c r="N624" s="24">
        <v>1181.9000000000001</v>
      </c>
      <c r="O624" s="22">
        <f>YEAR(B624)</f>
        <v>2024</v>
      </c>
      <c r="P624" s="25">
        <f>DATE(YEAR(B624),MONTH(B624),1)</f>
        <v>45597</v>
      </c>
      <c r="Q624" s="22" t="str">
        <f>IF(N624&gt;Summary!$C$17,"Outlier","")</f>
        <v/>
      </c>
      <c r="R624" s="22" t="str">
        <f>IF(L624="","None",L624)</f>
        <v>None</v>
      </c>
    </row>
    <row r="625" spans="1:18" x14ac:dyDescent="0.2">
      <c r="A625" s="22" t="s">
        <v>2418</v>
      </c>
      <c r="B625" s="23">
        <v>45093</v>
      </c>
      <c r="C625" s="22" t="s">
        <v>2419</v>
      </c>
      <c r="D625" s="22" t="s">
        <v>62</v>
      </c>
      <c r="E625" s="22">
        <v>3</v>
      </c>
      <c r="F625" s="24">
        <v>396</v>
      </c>
      <c r="G625" s="22" t="s">
        <v>2420</v>
      </c>
      <c r="H625" s="22" t="s">
        <v>78</v>
      </c>
      <c r="I625" s="22" t="s">
        <v>73</v>
      </c>
      <c r="J625" s="22" t="s">
        <v>2421</v>
      </c>
      <c r="K625" s="22">
        <v>4</v>
      </c>
      <c r="L625" s="22" t="s">
        <v>82</v>
      </c>
      <c r="M625" s="22" t="s">
        <v>89</v>
      </c>
      <c r="N625" s="24">
        <v>1188</v>
      </c>
      <c r="O625" s="22">
        <f>YEAR(B625)</f>
        <v>2023</v>
      </c>
      <c r="P625" s="25">
        <f>DATE(YEAR(B625),MONTH(B625),1)</f>
        <v>45078</v>
      </c>
      <c r="Q625" s="22" t="str">
        <f>IF(N625&gt;Summary!$C$17,"Outlier","")</f>
        <v/>
      </c>
      <c r="R625" s="22" t="str">
        <f>IF(L625="","None",L625)</f>
        <v>FREESHIP</v>
      </c>
    </row>
    <row r="626" spans="1:18" x14ac:dyDescent="0.2">
      <c r="A626" s="22" t="s">
        <v>2422</v>
      </c>
      <c r="B626" s="23">
        <v>45307</v>
      </c>
      <c r="C626" s="22" t="s">
        <v>2423</v>
      </c>
      <c r="D626" s="22" t="s">
        <v>64</v>
      </c>
      <c r="E626" s="22">
        <v>5</v>
      </c>
      <c r="F626" s="24">
        <v>341.96</v>
      </c>
      <c r="G626" s="22" t="s">
        <v>1490</v>
      </c>
      <c r="H626" s="22" t="s">
        <v>77</v>
      </c>
      <c r="I626" s="22" t="s">
        <v>69</v>
      </c>
      <c r="J626" s="22" t="s">
        <v>2424</v>
      </c>
      <c r="K626" s="22">
        <v>6</v>
      </c>
      <c r="L626" s="22"/>
      <c r="M626" s="22" t="s">
        <v>86</v>
      </c>
      <c r="N626" s="24">
        <v>1709.8</v>
      </c>
      <c r="O626" s="22">
        <f>YEAR(B626)</f>
        <v>2024</v>
      </c>
      <c r="P626" s="25">
        <f>DATE(YEAR(B626),MONTH(B626),1)</f>
        <v>45292</v>
      </c>
      <c r="Q626" s="22" t="str">
        <f>IF(N626&gt;Summary!$C$17,"Outlier","")</f>
        <v/>
      </c>
      <c r="R626" s="22" t="str">
        <f>IF(L626="","None",L626)</f>
        <v>None</v>
      </c>
    </row>
    <row r="627" spans="1:18" x14ac:dyDescent="0.2">
      <c r="A627" s="22" t="s">
        <v>2425</v>
      </c>
      <c r="B627" s="23">
        <v>45193</v>
      </c>
      <c r="C627" s="22" t="s">
        <v>2426</v>
      </c>
      <c r="D627" s="22" t="s">
        <v>64</v>
      </c>
      <c r="E627" s="22">
        <v>1</v>
      </c>
      <c r="F627" s="24">
        <v>672.89</v>
      </c>
      <c r="G627" s="22" t="s">
        <v>2427</v>
      </c>
      <c r="H627" s="22" t="s">
        <v>76</v>
      </c>
      <c r="I627" s="22" t="s">
        <v>71</v>
      </c>
      <c r="J627" s="22" t="s">
        <v>2428</v>
      </c>
      <c r="K627" s="22">
        <v>1</v>
      </c>
      <c r="L627" s="22" t="s">
        <v>84</v>
      </c>
      <c r="M627" s="22" t="s">
        <v>86</v>
      </c>
      <c r="N627" s="24">
        <v>672.89</v>
      </c>
      <c r="O627" s="22">
        <f>YEAR(B627)</f>
        <v>2023</v>
      </c>
      <c r="P627" s="25">
        <f>DATE(YEAR(B627),MONTH(B627),1)</f>
        <v>45170</v>
      </c>
      <c r="Q627" s="22" t="str">
        <f>IF(N627&gt;Summary!$C$17,"Outlier","")</f>
        <v/>
      </c>
      <c r="R627" s="22" t="str">
        <f>IF(L627="","None",L627)</f>
        <v>WINTER15</v>
      </c>
    </row>
    <row r="628" spans="1:18" x14ac:dyDescent="0.2">
      <c r="A628" s="22" t="s">
        <v>2429</v>
      </c>
      <c r="B628" s="23">
        <v>45352</v>
      </c>
      <c r="C628" s="22" t="s">
        <v>2430</v>
      </c>
      <c r="D628" s="22" t="s">
        <v>64</v>
      </c>
      <c r="E628" s="22">
        <v>2</v>
      </c>
      <c r="F628" s="24">
        <v>657.48</v>
      </c>
      <c r="G628" s="22" t="s">
        <v>1714</v>
      </c>
      <c r="H628" s="22" t="s">
        <v>79</v>
      </c>
      <c r="I628" s="22" t="s">
        <v>70</v>
      </c>
      <c r="J628" s="22" t="s">
        <v>2431</v>
      </c>
      <c r="K628" s="22">
        <v>5</v>
      </c>
      <c r="L628" s="22" t="s">
        <v>83</v>
      </c>
      <c r="M628" s="22" t="s">
        <v>90</v>
      </c>
      <c r="N628" s="24">
        <v>1314.96</v>
      </c>
      <c r="O628" s="22">
        <f>YEAR(B628)</f>
        <v>2024</v>
      </c>
      <c r="P628" s="25">
        <f>DATE(YEAR(B628),MONTH(B628),1)</f>
        <v>45352</v>
      </c>
      <c r="Q628" s="22" t="str">
        <f>IF(N628&gt;Summary!$C$17,"Outlier","")</f>
        <v/>
      </c>
      <c r="R628" s="22" t="str">
        <f>IF(L628="","None",L628)</f>
        <v>SAVE10</v>
      </c>
    </row>
    <row r="629" spans="1:18" x14ac:dyDescent="0.2">
      <c r="A629" s="22" t="s">
        <v>2432</v>
      </c>
      <c r="B629" s="23">
        <v>45144</v>
      </c>
      <c r="C629" s="22" t="s">
        <v>2433</v>
      </c>
      <c r="D629" s="22" t="s">
        <v>61</v>
      </c>
      <c r="E629" s="22">
        <v>3</v>
      </c>
      <c r="F629" s="24">
        <v>498.68</v>
      </c>
      <c r="G629" s="22" t="s">
        <v>2140</v>
      </c>
      <c r="H629" s="22" t="s">
        <v>79</v>
      </c>
      <c r="I629" s="22" t="s">
        <v>72</v>
      </c>
      <c r="J629" s="22" t="s">
        <v>2434</v>
      </c>
      <c r="K629" s="22">
        <v>4</v>
      </c>
      <c r="L629" s="22" t="s">
        <v>82</v>
      </c>
      <c r="M629" s="22" t="s">
        <v>86</v>
      </c>
      <c r="N629" s="24">
        <v>1496.04</v>
      </c>
      <c r="O629" s="22">
        <f>YEAR(B629)</f>
        <v>2023</v>
      </c>
      <c r="P629" s="25">
        <f>DATE(YEAR(B629),MONTH(B629),1)</f>
        <v>45139</v>
      </c>
      <c r="Q629" s="22" t="str">
        <f>IF(N629&gt;Summary!$C$17,"Outlier","")</f>
        <v/>
      </c>
      <c r="R629" s="22" t="str">
        <f>IF(L629="","None",L629)</f>
        <v>FREESHIP</v>
      </c>
    </row>
    <row r="630" spans="1:18" x14ac:dyDescent="0.2">
      <c r="A630" s="22" t="s">
        <v>2435</v>
      </c>
      <c r="B630" s="23">
        <v>45011</v>
      </c>
      <c r="C630" s="22" t="s">
        <v>2436</v>
      </c>
      <c r="D630" s="22" t="s">
        <v>62</v>
      </c>
      <c r="E630" s="22">
        <v>5</v>
      </c>
      <c r="F630" s="24">
        <v>558.63</v>
      </c>
      <c r="G630" s="22" t="s">
        <v>2437</v>
      </c>
      <c r="H630" s="22" t="s">
        <v>75</v>
      </c>
      <c r="I630" s="22" t="s">
        <v>71</v>
      </c>
      <c r="J630" s="22" t="s">
        <v>2438</v>
      </c>
      <c r="K630" s="22">
        <v>8</v>
      </c>
      <c r="L630" s="22" t="s">
        <v>82</v>
      </c>
      <c r="M630" s="22" t="s">
        <v>90</v>
      </c>
      <c r="N630" s="24">
        <v>2793.15</v>
      </c>
      <c r="O630" s="22">
        <f>YEAR(B630)</f>
        <v>2023</v>
      </c>
      <c r="P630" s="25">
        <f>DATE(YEAR(B630),MONTH(B630),1)</f>
        <v>44986</v>
      </c>
      <c r="Q630" s="22" t="str">
        <f>IF(N630&gt;Summary!$C$17,"Outlier","")</f>
        <v/>
      </c>
      <c r="R630" s="22" t="str">
        <f>IF(L630="","None",L630)</f>
        <v>FREESHIP</v>
      </c>
    </row>
    <row r="631" spans="1:18" x14ac:dyDescent="0.2">
      <c r="A631" s="22" t="s">
        <v>2439</v>
      </c>
      <c r="B631" s="23">
        <v>45114</v>
      </c>
      <c r="C631" s="22" t="s">
        <v>2440</v>
      </c>
      <c r="D631" s="22" t="s">
        <v>67</v>
      </c>
      <c r="E631" s="22">
        <v>3</v>
      </c>
      <c r="F631" s="24">
        <v>19.73</v>
      </c>
      <c r="G631" s="22" t="s">
        <v>2441</v>
      </c>
      <c r="H631" s="22" t="s">
        <v>79</v>
      </c>
      <c r="I631" s="22" t="s">
        <v>71</v>
      </c>
      <c r="J631" s="22" t="s">
        <v>2442</v>
      </c>
      <c r="K631" s="22">
        <v>3</v>
      </c>
      <c r="L631" s="22"/>
      <c r="M631" s="22" t="s">
        <v>90</v>
      </c>
      <c r="N631" s="24">
        <v>59.19</v>
      </c>
      <c r="O631" s="22">
        <f>YEAR(B631)</f>
        <v>2023</v>
      </c>
      <c r="P631" s="25">
        <f>DATE(YEAR(B631),MONTH(B631),1)</f>
        <v>45108</v>
      </c>
      <c r="Q631" s="22" t="str">
        <f>IF(N631&gt;Summary!$C$17,"Outlier","")</f>
        <v/>
      </c>
      <c r="R631" s="22" t="str">
        <f>IF(L631="","None",L631)</f>
        <v>None</v>
      </c>
    </row>
    <row r="632" spans="1:18" x14ac:dyDescent="0.2">
      <c r="A632" s="22" t="s">
        <v>2443</v>
      </c>
      <c r="B632" s="23">
        <v>45100</v>
      </c>
      <c r="C632" s="22" t="s">
        <v>2444</v>
      </c>
      <c r="D632" s="22" t="s">
        <v>65</v>
      </c>
      <c r="E632" s="22">
        <v>5</v>
      </c>
      <c r="F632" s="24">
        <v>248.84</v>
      </c>
      <c r="G632" s="22" t="s">
        <v>2445</v>
      </c>
      <c r="H632" s="22" t="s">
        <v>77</v>
      </c>
      <c r="I632" s="22" t="s">
        <v>73</v>
      </c>
      <c r="J632" s="22" t="s">
        <v>2446</v>
      </c>
      <c r="K632" s="22">
        <v>10</v>
      </c>
      <c r="L632" s="22"/>
      <c r="M632" s="22" t="s">
        <v>89</v>
      </c>
      <c r="N632" s="24">
        <v>1244.2</v>
      </c>
      <c r="O632" s="22">
        <f>YEAR(B632)</f>
        <v>2023</v>
      </c>
      <c r="P632" s="25">
        <f>DATE(YEAR(B632),MONTH(B632),1)</f>
        <v>45078</v>
      </c>
      <c r="Q632" s="22" t="str">
        <f>IF(N632&gt;Summary!$C$17,"Outlier","")</f>
        <v/>
      </c>
      <c r="R632" s="22" t="str">
        <f>IF(L632="","None",L632)</f>
        <v>None</v>
      </c>
    </row>
    <row r="633" spans="1:18" x14ac:dyDescent="0.2">
      <c r="A633" s="22" t="s">
        <v>2447</v>
      </c>
      <c r="B633" s="23">
        <v>45535</v>
      </c>
      <c r="C633" s="22" t="s">
        <v>2448</v>
      </c>
      <c r="D633" s="22" t="s">
        <v>61</v>
      </c>
      <c r="E633" s="22">
        <v>3</v>
      </c>
      <c r="F633" s="24">
        <v>46.11</v>
      </c>
      <c r="G633" s="22" t="s">
        <v>1178</v>
      </c>
      <c r="H633" s="22" t="s">
        <v>78</v>
      </c>
      <c r="I633" s="22" t="s">
        <v>72</v>
      </c>
      <c r="J633" s="22" t="s">
        <v>2449</v>
      </c>
      <c r="K633" s="22">
        <v>5</v>
      </c>
      <c r="L633" s="22" t="s">
        <v>84</v>
      </c>
      <c r="M633" s="22" t="s">
        <v>90</v>
      </c>
      <c r="N633" s="24">
        <v>138.33000000000001</v>
      </c>
      <c r="O633" s="22">
        <f>YEAR(B633)</f>
        <v>2024</v>
      </c>
      <c r="P633" s="25">
        <f>DATE(YEAR(B633),MONTH(B633),1)</f>
        <v>45505</v>
      </c>
      <c r="Q633" s="22" t="str">
        <f>IF(N633&gt;Summary!$C$17,"Outlier","")</f>
        <v/>
      </c>
      <c r="R633" s="22" t="str">
        <f>IF(L633="","None",L633)</f>
        <v>WINTER15</v>
      </c>
    </row>
    <row r="634" spans="1:18" x14ac:dyDescent="0.2">
      <c r="A634" s="22" t="s">
        <v>97</v>
      </c>
      <c r="B634" s="23">
        <v>45048</v>
      </c>
      <c r="C634" s="22" t="s">
        <v>2450</v>
      </c>
      <c r="D634" s="22" t="s">
        <v>63</v>
      </c>
      <c r="E634" s="22">
        <v>5</v>
      </c>
      <c r="F634" s="24">
        <v>678.16</v>
      </c>
      <c r="G634" s="22" t="s">
        <v>1105</v>
      </c>
      <c r="H634" s="22" t="s">
        <v>78</v>
      </c>
      <c r="I634" s="22" t="s">
        <v>69</v>
      </c>
      <c r="J634" s="22" t="s">
        <v>2451</v>
      </c>
      <c r="K634" s="22">
        <v>7</v>
      </c>
      <c r="L634" s="22" t="s">
        <v>84</v>
      </c>
      <c r="M634" s="22" t="s">
        <v>87</v>
      </c>
      <c r="N634" s="24">
        <v>3390.8</v>
      </c>
      <c r="O634" s="22">
        <f>YEAR(B634)</f>
        <v>2023</v>
      </c>
      <c r="P634" s="25">
        <f>DATE(YEAR(B634),MONTH(B634),1)</f>
        <v>45047</v>
      </c>
      <c r="Q634" s="22" t="str">
        <f>IF(N634&gt;Summary!$C$17,"Outlier","")</f>
        <v>Outlier</v>
      </c>
      <c r="R634" s="22" t="str">
        <f>IF(L634="","None",L634)</f>
        <v>WINTER15</v>
      </c>
    </row>
    <row r="635" spans="1:18" x14ac:dyDescent="0.2">
      <c r="A635" s="22" t="s">
        <v>2452</v>
      </c>
      <c r="B635" s="23">
        <v>45392</v>
      </c>
      <c r="C635" s="22" t="s">
        <v>2453</v>
      </c>
      <c r="D635" s="22" t="s">
        <v>63</v>
      </c>
      <c r="E635" s="22">
        <v>5</v>
      </c>
      <c r="F635" s="24">
        <v>601.72</v>
      </c>
      <c r="G635" s="22" t="s">
        <v>1613</v>
      </c>
      <c r="H635" s="22" t="s">
        <v>78</v>
      </c>
      <c r="I635" s="22" t="s">
        <v>73</v>
      </c>
      <c r="J635" s="22" t="s">
        <v>2454</v>
      </c>
      <c r="K635" s="22">
        <v>5</v>
      </c>
      <c r="L635" s="22" t="s">
        <v>84</v>
      </c>
      <c r="M635" s="22" t="s">
        <v>89</v>
      </c>
      <c r="N635" s="24">
        <v>3008.6</v>
      </c>
      <c r="O635" s="22">
        <f>YEAR(B635)</f>
        <v>2024</v>
      </c>
      <c r="P635" s="25">
        <f>DATE(YEAR(B635),MONTH(B635),1)</f>
        <v>45383</v>
      </c>
      <c r="Q635" s="22" t="str">
        <f>IF(N635&gt;Summary!$C$17,"Outlier","")</f>
        <v/>
      </c>
      <c r="R635" s="22" t="str">
        <f>IF(L635="","None",L635)</f>
        <v>WINTER15</v>
      </c>
    </row>
    <row r="636" spans="1:18" x14ac:dyDescent="0.2">
      <c r="A636" s="22" t="s">
        <v>2455</v>
      </c>
      <c r="B636" s="23">
        <v>45407</v>
      </c>
      <c r="C636" s="22" t="s">
        <v>2456</v>
      </c>
      <c r="D636" s="22" t="s">
        <v>62</v>
      </c>
      <c r="E636" s="22">
        <v>2</v>
      </c>
      <c r="F636" s="24">
        <v>259.32</v>
      </c>
      <c r="G636" s="22" t="s">
        <v>2457</v>
      </c>
      <c r="H636" s="22" t="s">
        <v>78</v>
      </c>
      <c r="I636" s="22" t="s">
        <v>69</v>
      </c>
      <c r="J636" s="22" t="s">
        <v>2458</v>
      </c>
      <c r="K636" s="22">
        <v>2</v>
      </c>
      <c r="L636" s="22" t="s">
        <v>84</v>
      </c>
      <c r="M636" s="22" t="s">
        <v>90</v>
      </c>
      <c r="N636" s="24">
        <v>518.64</v>
      </c>
      <c r="O636" s="22">
        <f>YEAR(B636)</f>
        <v>2024</v>
      </c>
      <c r="P636" s="25">
        <f>DATE(YEAR(B636),MONTH(B636),1)</f>
        <v>45383</v>
      </c>
      <c r="Q636" s="22" t="str">
        <f>IF(N636&gt;Summary!$C$17,"Outlier","")</f>
        <v/>
      </c>
      <c r="R636" s="22" t="str">
        <f>IF(L636="","None",L636)</f>
        <v>WINTER15</v>
      </c>
    </row>
    <row r="637" spans="1:18" x14ac:dyDescent="0.2">
      <c r="A637" s="22" t="s">
        <v>2459</v>
      </c>
      <c r="B637" s="23">
        <v>45273</v>
      </c>
      <c r="C637" s="22" t="s">
        <v>2460</v>
      </c>
      <c r="D637" s="22" t="s">
        <v>61</v>
      </c>
      <c r="E637" s="22">
        <v>3</v>
      </c>
      <c r="F637" s="24">
        <v>63.68</v>
      </c>
      <c r="G637" s="22" t="s">
        <v>320</v>
      </c>
      <c r="H637" s="22" t="s">
        <v>75</v>
      </c>
      <c r="I637" s="22" t="s">
        <v>72</v>
      </c>
      <c r="J637" s="22" t="s">
        <v>2461</v>
      </c>
      <c r="K637" s="22">
        <v>6</v>
      </c>
      <c r="L637" s="22"/>
      <c r="M637" s="22" t="s">
        <v>87</v>
      </c>
      <c r="N637" s="24">
        <v>191.04</v>
      </c>
      <c r="O637" s="22">
        <f>YEAR(B637)</f>
        <v>2023</v>
      </c>
      <c r="P637" s="25">
        <f>DATE(YEAR(B637),MONTH(B637),1)</f>
        <v>45261</v>
      </c>
      <c r="Q637" s="22" t="str">
        <f>IF(N637&gt;Summary!$C$17,"Outlier","")</f>
        <v/>
      </c>
      <c r="R637" s="22" t="str">
        <f>IF(L637="","None",L637)</f>
        <v>None</v>
      </c>
    </row>
    <row r="638" spans="1:18" x14ac:dyDescent="0.2">
      <c r="A638" s="22" t="s">
        <v>2462</v>
      </c>
      <c r="B638" s="23">
        <v>45204</v>
      </c>
      <c r="C638" s="22" t="s">
        <v>2463</v>
      </c>
      <c r="D638" s="22" t="s">
        <v>63</v>
      </c>
      <c r="E638" s="22">
        <v>4</v>
      </c>
      <c r="F638" s="24">
        <v>371.07</v>
      </c>
      <c r="G638" s="22" t="s">
        <v>785</v>
      </c>
      <c r="H638" s="22" t="s">
        <v>75</v>
      </c>
      <c r="I638" s="22" t="s">
        <v>73</v>
      </c>
      <c r="J638" s="22" t="s">
        <v>2464</v>
      </c>
      <c r="K638" s="22">
        <v>7</v>
      </c>
      <c r="L638" s="22" t="s">
        <v>84</v>
      </c>
      <c r="M638" s="22" t="s">
        <v>87</v>
      </c>
      <c r="N638" s="24">
        <v>1484.28</v>
      </c>
      <c r="O638" s="22">
        <f>YEAR(B638)</f>
        <v>2023</v>
      </c>
      <c r="P638" s="25">
        <f>DATE(YEAR(B638),MONTH(B638),1)</f>
        <v>45200</v>
      </c>
      <c r="Q638" s="22" t="str">
        <f>IF(N638&gt;Summary!$C$17,"Outlier","")</f>
        <v/>
      </c>
      <c r="R638" s="22" t="str">
        <f>IF(L638="","None",L638)</f>
        <v>WINTER15</v>
      </c>
    </row>
    <row r="639" spans="1:18" x14ac:dyDescent="0.2">
      <c r="A639" s="22" t="s">
        <v>2465</v>
      </c>
      <c r="B639" s="23">
        <v>45564</v>
      </c>
      <c r="C639" s="22" t="s">
        <v>2466</v>
      </c>
      <c r="D639" s="22" t="s">
        <v>61</v>
      </c>
      <c r="E639" s="22">
        <v>4</v>
      </c>
      <c r="F639" s="24">
        <v>306.35000000000002</v>
      </c>
      <c r="G639" s="22" t="s">
        <v>2467</v>
      </c>
      <c r="H639" s="22" t="s">
        <v>78</v>
      </c>
      <c r="I639" s="22" t="s">
        <v>70</v>
      </c>
      <c r="J639" s="22" t="s">
        <v>2468</v>
      </c>
      <c r="K639" s="22">
        <v>7</v>
      </c>
      <c r="L639" s="22" t="s">
        <v>84</v>
      </c>
      <c r="M639" s="22" t="s">
        <v>90</v>
      </c>
      <c r="N639" s="24">
        <v>1225.4000000000001</v>
      </c>
      <c r="O639" s="22">
        <f>YEAR(B639)</f>
        <v>2024</v>
      </c>
      <c r="P639" s="25">
        <f>DATE(YEAR(B639),MONTH(B639),1)</f>
        <v>45536</v>
      </c>
      <c r="Q639" s="22" t="str">
        <f>IF(N639&gt;Summary!$C$17,"Outlier","")</f>
        <v/>
      </c>
      <c r="R639" s="22" t="str">
        <f>IF(L639="","None",L639)</f>
        <v>WINTER15</v>
      </c>
    </row>
    <row r="640" spans="1:18" x14ac:dyDescent="0.2">
      <c r="A640" s="22" t="s">
        <v>2469</v>
      </c>
      <c r="B640" s="23">
        <v>45214</v>
      </c>
      <c r="C640" s="22" t="s">
        <v>2470</v>
      </c>
      <c r="D640" s="22" t="s">
        <v>64</v>
      </c>
      <c r="E640" s="22">
        <v>4</v>
      </c>
      <c r="F640" s="24">
        <v>578.27</v>
      </c>
      <c r="G640" s="22" t="s">
        <v>2471</v>
      </c>
      <c r="H640" s="22" t="s">
        <v>79</v>
      </c>
      <c r="I640" s="22" t="s">
        <v>69</v>
      </c>
      <c r="J640" s="22" t="s">
        <v>2472</v>
      </c>
      <c r="K640" s="22">
        <v>9</v>
      </c>
      <c r="L640" s="22" t="s">
        <v>84</v>
      </c>
      <c r="M640" s="22" t="s">
        <v>86</v>
      </c>
      <c r="N640" s="24">
        <v>2313.08</v>
      </c>
      <c r="O640" s="22">
        <f>YEAR(B640)</f>
        <v>2023</v>
      </c>
      <c r="P640" s="25">
        <f>DATE(YEAR(B640),MONTH(B640),1)</f>
        <v>45200</v>
      </c>
      <c r="Q640" s="22" t="str">
        <f>IF(N640&gt;Summary!$C$17,"Outlier","")</f>
        <v/>
      </c>
      <c r="R640" s="22" t="str">
        <f>IF(L640="","None",L640)</f>
        <v>WINTER15</v>
      </c>
    </row>
    <row r="641" spans="1:18" x14ac:dyDescent="0.2">
      <c r="A641" s="22" t="s">
        <v>2473</v>
      </c>
      <c r="B641" s="23">
        <v>44946</v>
      </c>
      <c r="C641" s="22" t="s">
        <v>2474</v>
      </c>
      <c r="D641" s="22" t="s">
        <v>61</v>
      </c>
      <c r="E641" s="22">
        <v>1</v>
      </c>
      <c r="F641" s="24">
        <v>529.19000000000005</v>
      </c>
      <c r="G641" s="22" t="s">
        <v>1873</v>
      </c>
      <c r="H641" s="22" t="s">
        <v>75</v>
      </c>
      <c r="I641" s="22" t="s">
        <v>73</v>
      </c>
      <c r="J641" s="22" t="s">
        <v>2475</v>
      </c>
      <c r="K641" s="22">
        <v>5</v>
      </c>
      <c r="L641" s="22"/>
      <c r="M641" s="22" t="s">
        <v>90</v>
      </c>
      <c r="N641" s="24">
        <v>529.19000000000005</v>
      </c>
      <c r="O641" s="22">
        <f>YEAR(B641)</f>
        <v>2023</v>
      </c>
      <c r="P641" s="25">
        <f>DATE(YEAR(B641),MONTH(B641),1)</f>
        <v>44927</v>
      </c>
      <c r="Q641" s="22" t="str">
        <f>IF(N641&gt;Summary!$C$17,"Outlier","")</f>
        <v/>
      </c>
      <c r="R641" s="22" t="str">
        <f>IF(L641="","None",L641)</f>
        <v>None</v>
      </c>
    </row>
    <row r="642" spans="1:18" x14ac:dyDescent="0.2">
      <c r="A642" s="22" t="s">
        <v>2476</v>
      </c>
      <c r="B642" s="23">
        <v>45349</v>
      </c>
      <c r="C642" s="22" t="s">
        <v>2477</v>
      </c>
      <c r="D642" s="22" t="s">
        <v>61</v>
      </c>
      <c r="E642" s="22">
        <v>2</v>
      </c>
      <c r="F642" s="24">
        <v>587.49</v>
      </c>
      <c r="G642" s="22" t="s">
        <v>528</v>
      </c>
      <c r="H642" s="22" t="s">
        <v>78</v>
      </c>
      <c r="I642" s="22" t="s">
        <v>72</v>
      </c>
      <c r="J642" s="22" t="s">
        <v>2478</v>
      </c>
      <c r="K642" s="22">
        <v>6</v>
      </c>
      <c r="L642" s="22" t="s">
        <v>83</v>
      </c>
      <c r="M642" s="22" t="s">
        <v>90</v>
      </c>
      <c r="N642" s="24">
        <v>1174.98</v>
      </c>
      <c r="O642" s="22">
        <f>YEAR(B642)</f>
        <v>2024</v>
      </c>
      <c r="P642" s="25">
        <f>DATE(YEAR(B642),MONTH(B642),1)</f>
        <v>45323</v>
      </c>
      <c r="Q642" s="22" t="str">
        <f>IF(N642&gt;Summary!$C$17,"Outlier","")</f>
        <v/>
      </c>
      <c r="R642" s="22" t="str">
        <f>IF(L642="","None",L642)</f>
        <v>SAVE10</v>
      </c>
    </row>
    <row r="643" spans="1:18" x14ac:dyDescent="0.2">
      <c r="A643" s="22" t="s">
        <v>2479</v>
      </c>
      <c r="B643" s="23">
        <v>45473</v>
      </c>
      <c r="C643" s="22" t="s">
        <v>2480</v>
      </c>
      <c r="D643" s="22" t="s">
        <v>62</v>
      </c>
      <c r="E643" s="22">
        <v>4</v>
      </c>
      <c r="F643" s="24">
        <v>567.57000000000005</v>
      </c>
      <c r="G643" s="22" t="s">
        <v>1088</v>
      </c>
      <c r="H643" s="22" t="s">
        <v>77</v>
      </c>
      <c r="I643" s="22" t="s">
        <v>71</v>
      </c>
      <c r="J643" s="22" t="s">
        <v>2481</v>
      </c>
      <c r="K643" s="22">
        <v>9</v>
      </c>
      <c r="L643" s="22" t="s">
        <v>84</v>
      </c>
      <c r="M643" s="22" t="s">
        <v>88</v>
      </c>
      <c r="N643" s="24">
        <v>2270.2800000000002</v>
      </c>
      <c r="O643" s="22">
        <f>YEAR(B643)</f>
        <v>2024</v>
      </c>
      <c r="P643" s="25">
        <f>DATE(YEAR(B643),MONTH(B643),1)</f>
        <v>45444</v>
      </c>
      <c r="Q643" s="22" t="str">
        <f>IF(N643&gt;Summary!$C$17,"Outlier","")</f>
        <v/>
      </c>
      <c r="R643" s="22" t="str">
        <f>IF(L643="","None",L643)</f>
        <v>WINTER15</v>
      </c>
    </row>
    <row r="644" spans="1:18" x14ac:dyDescent="0.2">
      <c r="A644" s="22" t="s">
        <v>2482</v>
      </c>
      <c r="B644" s="23">
        <v>45411</v>
      </c>
      <c r="C644" s="22" t="s">
        <v>2483</v>
      </c>
      <c r="D644" s="22" t="s">
        <v>61</v>
      </c>
      <c r="E644" s="22">
        <v>5</v>
      </c>
      <c r="F644" s="24">
        <v>85.22</v>
      </c>
      <c r="G644" s="22" t="s">
        <v>2484</v>
      </c>
      <c r="H644" s="22" t="s">
        <v>76</v>
      </c>
      <c r="I644" s="22" t="s">
        <v>73</v>
      </c>
      <c r="J644" s="22" t="s">
        <v>2485</v>
      </c>
      <c r="K644" s="22">
        <v>7</v>
      </c>
      <c r="L644" s="22" t="s">
        <v>82</v>
      </c>
      <c r="M644" s="22" t="s">
        <v>86</v>
      </c>
      <c r="N644" s="24">
        <v>426.1</v>
      </c>
      <c r="O644" s="22">
        <f>YEAR(B644)</f>
        <v>2024</v>
      </c>
      <c r="P644" s="25">
        <f>DATE(YEAR(B644),MONTH(B644),1)</f>
        <v>45383</v>
      </c>
      <c r="Q644" s="22" t="str">
        <f>IF(N644&gt;Summary!$C$17,"Outlier","")</f>
        <v/>
      </c>
      <c r="R644" s="22" t="str">
        <f>IF(L644="","None",L644)</f>
        <v>FREESHIP</v>
      </c>
    </row>
    <row r="645" spans="1:18" x14ac:dyDescent="0.2">
      <c r="A645" s="22" t="s">
        <v>2486</v>
      </c>
      <c r="B645" s="23">
        <v>45530</v>
      </c>
      <c r="C645" s="22" t="s">
        <v>2487</v>
      </c>
      <c r="D645" s="22" t="s">
        <v>63</v>
      </c>
      <c r="E645" s="22">
        <v>1</v>
      </c>
      <c r="F645" s="24">
        <v>438.37</v>
      </c>
      <c r="G645" s="22" t="s">
        <v>528</v>
      </c>
      <c r="H645" s="22" t="s">
        <v>75</v>
      </c>
      <c r="I645" s="22" t="s">
        <v>73</v>
      </c>
      <c r="J645" s="22" t="s">
        <v>2488</v>
      </c>
      <c r="K645" s="22">
        <v>4</v>
      </c>
      <c r="L645" s="22" t="s">
        <v>83</v>
      </c>
      <c r="M645" s="22" t="s">
        <v>90</v>
      </c>
      <c r="N645" s="24">
        <v>438.37</v>
      </c>
      <c r="O645" s="22">
        <f>YEAR(B645)</f>
        <v>2024</v>
      </c>
      <c r="P645" s="25">
        <f>DATE(YEAR(B645),MONTH(B645),1)</f>
        <v>45505</v>
      </c>
      <c r="Q645" s="22" t="str">
        <f>IF(N645&gt;Summary!$C$17,"Outlier","")</f>
        <v/>
      </c>
      <c r="R645" s="22" t="str">
        <f>IF(L645="","None",L645)</f>
        <v>SAVE10</v>
      </c>
    </row>
    <row r="646" spans="1:18" x14ac:dyDescent="0.2">
      <c r="A646" s="22" t="s">
        <v>2489</v>
      </c>
      <c r="B646" s="23">
        <v>45245</v>
      </c>
      <c r="C646" s="22" t="s">
        <v>2490</v>
      </c>
      <c r="D646" s="22" t="s">
        <v>61</v>
      </c>
      <c r="E646" s="22">
        <v>2</v>
      </c>
      <c r="F646" s="24">
        <v>366.23</v>
      </c>
      <c r="G646" s="22" t="s">
        <v>2491</v>
      </c>
      <c r="H646" s="22" t="s">
        <v>75</v>
      </c>
      <c r="I646" s="22" t="s">
        <v>70</v>
      </c>
      <c r="J646" s="22" t="s">
        <v>2492</v>
      </c>
      <c r="K646" s="22">
        <v>2</v>
      </c>
      <c r="L646" s="22" t="s">
        <v>84</v>
      </c>
      <c r="M646" s="22" t="s">
        <v>86</v>
      </c>
      <c r="N646" s="24">
        <v>732.46</v>
      </c>
      <c r="O646" s="22">
        <f>YEAR(B646)</f>
        <v>2023</v>
      </c>
      <c r="P646" s="25">
        <f>DATE(YEAR(B646),MONTH(B646),1)</f>
        <v>45231</v>
      </c>
      <c r="Q646" s="22" t="str">
        <f>IF(N646&gt;Summary!$C$17,"Outlier","")</f>
        <v/>
      </c>
      <c r="R646" s="22" t="str">
        <f>IF(L646="","None",L646)</f>
        <v>WINTER15</v>
      </c>
    </row>
    <row r="647" spans="1:18" x14ac:dyDescent="0.2">
      <c r="A647" s="22" t="s">
        <v>2493</v>
      </c>
      <c r="B647" s="23">
        <v>44928</v>
      </c>
      <c r="C647" s="22" t="s">
        <v>2494</v>
      </c>
      <c r="D647" s="22" t="s">
        <v>63</v>
      </c>
      <c r="E647" s="22">
        <v>2</v>
      </c>
      <c r="F647" s="24">
        <v>150.05000000000001</v>
      </c>
      <c r="G647" s="22" t="s">
        <v>602</v>
      </c>
      <c r="H647" s="22" t="s">
        <v>76</v>
      </c>
      <c r="I647" s="22" t="s">
        <v>73</v>
      </c>
      <c r="J647" s="22" t="s">
        <v>2495</v>
      </c>
      <c r="K647" s="22">
        <v>4</v>
      </c>
      <c r="L647" s="22" t="s">
        <v>83</v>
      </c>
      <c r="M647" s="22" t="s">
        <v>87</v>
      </c>
      <c r="N647" s="24">
        <v>300.10000000000002</v>
      </c>
      <c r="O647" s="22">
        <f>YEAR(B647)</f>
        <v>2023</v>
      </c>
      <c r="P647" s="25">
        <f>DATE(YEAR(B647),MONTH(B647),1)</f>
        <v>44927</v>
      </c>
      <c r="Q647" s="22" t="str">
        <f>IF(N647&gt;Summary!$C$17,"Outlier","")</f>
        <v/>
      </c>
      <c r="R647" s="22" t="str">
        <f>IF(L647="","None",L647)</f>
        <v>SAVE10</v>
      </c>
    </row>
    <row r="648" spans="1:18" x14ac:dyDescent="0.2">
      <c r="A648" s="22" t="s">
        <v>2496</v>
      </c>
      <c r="B648" s="23">
        <v>45226</v>
      </c>
      <c r="C648" s="22" t="s">
        <v>2497</v>
      </c>
      <c r="D648" s="22" t="s">
        <v>61</v>
      </c>
      <c r="E648" s="22">
        <v>4</v>
      </c>
      <c r="F648" s="24">
        <v>498.51</v>
      </c>
      <c r="G648" s="22" t="s">
        <v>2498</v>
      </c>
      <c r="H648" s="22" t="s">
        <v>77</v>
      </c>
      <c r="I648" s="22" t="s">
        <v>70</v>
      </c>
      <c r="J648" s="22" t="s">
        <v>2499</v>
      </c>
      <c r="K648" s="22">
        <v>4</v>
      </c>
      <c r="L648" s="22" t="s">
        <v>83</v>
      </c>
      <c r="M648" s="22" t="s">
        <v>88</v>
      </c>
      <c r="N648" s="24">
        <v>1994.04</v>
      </c>
      <c r="O648" s="22">
        <f>YEAR(B648)</f>
        <v>2023</v>
      </c>
      <c r="P648" s="25">
        <f>DATE(YEAR(B648),MONTH(B648),1)</f>
        <v>45200</v>
      </c>
      <c r="Q648" s="22" t="str">
        <f>IF(N648&gt;Summary!$C$17,"Outlier","")</f>
        <v/>
      </c>
      <c r="R648" s="22" t="str">
        <f>IF(L648="","None",L648)</f>
        <v>SAVE10</v>
      </c>
    </row>
    <row r="649" spans="1:18" x14ac:dyDescent="0.2">
      <c r="A649" s="22" t="s">
        <v>2500</v>
      </c>
      <c r="B649" s="23">
        <v>45771</v>
      </c>
      <c r="C649" s="22" t="s">
        <v>2501</v>
      </c>
      <c r="D649" s="22" t="s">
        <v>66</v>
      </c>
      <c r="E649" s="22">
        <v>3</v>
      </c>
      <c r="F649" s="24">
        <v>339.39</v>
      </c>
      <c r="G649" s="22" t="s">
        <v>758</v>
      </c>
      <c r="H649" s="22" t="s">
        <v>75</v>
      </c>
      <c r="I649" s="22" t="s">
        <v>72</v>
      </c>
      <c r="J649" s="22" t="s">
        <v>2502</v>
      </c>
      <c r="K649" s="22">
        <v>7</v>
      </c>
      <c r="L649" s="22" t="s">
        <v>82</v>
      </c>
      <c r="M649" s="22" t="s">
        <v>88</v>
      </c>
      <c r="N649" s="24">
        <v>1018.17</v>
      </c>
      <c r="O649" s="22">
        <f>YEAR(B649)</f>
        <v>2025</v>
      </c>
      <c r="P649" s="25">
        <f>DATE(YEAR(B649),MONTH(B649),1)</f>
        <v>45748</v>
      </c>
      <c r="Q649" s="22" t="str">
        <f>IF(N649&gt;Summary!$C$17,"Outlier","")</f>
        <v/>
      </c>
      <c r="R649" s="22" t="str">
        <f>IF(L649="","None",L649)</f>
        <v>FREESHIP</v>
      </c>
    </row>
    <row r="650" spans="1:18" x14ac:dyDescent="0.2">
      <c r="A650" s="22" t="s">
        <v>2503</v>
      </c>
      <c r="B650" s="23">
        <v>45675</v>
      </c>
      <c r="C650" s="22" t="s">
        <v>2504</v>
      </c>
      <c r="D650" s="22" t="s">
        <v>65</v>
      </c>
      <c r="E650" s="22">
        <v>2</v>
      </c>
      <c r="F650" s="24">
        <v>575.83000000000004</v>
      </c>
      <c r="G650" s="22" t="s">
        <v>2505</v>
      </c>
      <c r="H650" s="22" t="s">
        <v>79</v>
      </c>
      <c r="I650" s="22" t="s">
        <v>69</v>
      </c>
      <c r="J650" s="22" t="s">
        <v>2506</v>
      </c>
      <c r="K650" s="22">
        <v>3</v>
      </c>
      <c r="L650" s="22" t="s">
        <v>84</v>
      </c>
      <c r="M650" s="22" t="s">
        <v>90</v>
      </c>
      <c r="N650" s="24">
        <v>1151.6600000000001</v>
      </c>
      <c r="O650" s="22">
        <f>YEAR(B650)</f>
        <v>2025</v>
      </c>
      <c r="P650" s="25">
        <f>DATE(YEAR(B650),MONTH(B650),1)</f>
        <v>45658</v>
      </c>
      <c r="Q650" s="22" t="str">
        <f>IF(N650&gt;Summary!$C$17,"Outlier","")</f>
        <v/>
      </c>
      <c r="R650" s="22" t="str">
        <f>IF(L650="","None",L650)</f>
        <v>WINTER15</v>
      </c>
    </row>
    <row r="651" spans="1:18" x14ac:dyDescent="0.2">
      <c r="A651" s="22" t="s">
        <v>2507</v>
      </c>
      <c r="B651" s="23">
        <v>45283</v>
      </c>
      <c r="C651" s="22" t="s">
        <v>2508</v>
      </c>
      <c r="D651" s="22" t="s">
        <v>65</v>
      </c>
      <c r="E651" s="22">
        <v>2</v>
      </c>
      <c r="F651" s="24">
        <v>642.98</v>
      </c>
      <c r="G651" s="22" t="s">
        <v>1120</v>
      </c>
      <c r="H651" s="22" t="s">
        <v>77</v>
      </c>
      <c r="I651" s="22" t="s">
        <v>72</v>
      </c>
      <c r="J651" s="22" t="s">
        <v>2509</v>
      </c>
      <c r="K651" s="22">
        <v>7</v>
      </c>
      <c r="L651" s="22" t="s">
        <v>82</v>
      </c>
      <c r="M651" s="22" t="s">
        <v>86</v>
      </c>
      <c r="N651" s="24">
        <v>1285.96</v>
      </c>
      <c r="O651" s="22">
        <f>YEAR(B651)</f>
        <v>2023</v>
      </c>
      <c r="P651" s="25">
        <f>DATE(YEAR(B651),MONTH(B651),1)</f>
        <v>45261</v>
      </c>
      <c r="Q651" s="22" t="str">
        <f>IF(N651&gt;Summary!$C$17,"Outlier","")</f>
        <v/>
      </c>
      <c r="R651" s="22" t="str">
        <f>IF(L651="","None",L651)</f>
        <v>FREESHIP</v>
      </c>
    </row>
    <row r="652" spans="1:18" x14ac:dyDescent="0.2">
      <c r="A652" s="22" t="s">
        <v>2510</v>
      </c>
      <c r="B652" s="23">
        <v>45064</v>
      </c>
      <c r="C652" s="22" t="s">
        <v>2511</v>
      </c>
      <c r="D652" s="22" t="s">
        <v>66</v>
      </c>
      <c r="E652" s="22">
        <v>2</v>
      </c>
      <c r="F652" s="24">
        <v>372.23</v>
      </c>
      <c r="G652" s="22" t="s">
        <v>2512</v>
      </c>
      <c r="H652" s="22" t="s">
        <v>78</v>
      </c>
      <c r="I652" s="22" t="s">
        <v>69</v>
      </c>
      <c r="J652" s="22" t="s">
        <v>2513</v>
      </c>
      <c r="K652" s="22">
        <v>7</v>
      </c>
      <c r="L652" s="22" t="s">
        <v>83</v>
      </c>
      <c r="M652" s="22" t="s">
        <v>86</v>
      </c>
      <c r="N652" s="24">
        <v>744.46</v>
      </c>
      <c r="O652" s="22">
        <f>YEAR(B652)</f>
        <v>2023</v>
      </c>
      <c r="P652" s="25">
        <f>DATE(YEAR(B652),MONTH(B652),1)</f>
        <v>45047</v>
      </c>
      <c r="Q652" s="22" t="str">
        <f>IF(N652&gt;Summary!$C$17,"Outlier","")</f>
        <v/>
      </c>
      <c r="R652" s="22" t="str">
        <f>IF(L652="","None",L652)</f>
        <v>SAVE10</v>
      </c>
    </row>
    <row r="653" spans="1:18" x14ac:dyDescent="0.2">
      <c r="A653" s="22" t="s">
        <v>2514</v>
      </c>
      <c r="B653" s="23">
        <v>45608</v>
      </c>
      <c r="C653" s="22" t="s">
        <v>2515</v>
      </c>
      <c r="D653" s="22" t="s">
        <v>61</v>
      </c>
      <c r="E653" s="22">
        <v>3</v>
      </c>
      <c r="F653" s="24">
        <v>646.34</v>
      </c>
      <c r="G653" s="22" t="s">
        <v>871</v>
      </c>
      <c r="H653" s="22" t="s">
        <v>77</v>
      </c>
      <c r="I653" s="22" t="s">
        <v>71</v>
      </c>
      <c r="J653" s="22" t="s">
        <v>2516</v>
      </c>
      <c r="K653" s="22">
        <v>5</v>
      </c>
      <c r="L653" s="22"/>
      <c r="M653" s="22" t="s">
        <v>88</v>
      </c>
      <c r="N653" s="24">
        <v>1939.02</v>
      </c>
      <c r="O653" s="22">
        <f>YEAR(B653)</f>
        <v>2024</v>
      </c>
      <c r="P653" s="25">
        <f>DATE(YEAR(B653),MONTH(B653),1)</f>
        <v>45597</v>
      </c>
      <c r="Q653" s="22" t="str">
        <f>IF(N653&gt;Summary!$C$17,"Outlier","")</f>
        <v/>
      </c>
      <c r="R653" s="22" t="str">
        <f>IF(L653="","None",L653)</f>
        <v>None</v>
      </c>
    </row>
    <row r="654" spans="1:18" x14ac:dyDescent="0.2">
      <c r="A654" s="22" t="s">
        <v>2517</v>
      </c>
      <c r="B654" s="23">
        <v>45448</v>
      </c>
      <c r="C654" s="22" t="s">
        <v>2518</v>
      </c>
      <c r="D654" s="22" t="s">
        <v>61</v>
      </c>
      <c r="E654" s="22">
        <v>5</v>
      </c>
      <c r="F654" s="24">
        <v>341.84</v>
      </c>
      <c r="G654" s="22" t="s">
        <v>2519</v>
      </c>
      <c r="H654" s="22" t="s">
        <v>79</v>
      </c>
      <c r="I654" s="22" t="s">
        <v>70</v>
      </c>
      <c r="J654" s="22" t="s">
        <v>2520</v>
      </c>
      <c r="K654" s="22">
        <v>8</v>
      </c>
      <c r="L654" s="22" t="s">
        <v>82</v>
      </c>
      <c r="M654" s="22" t="s">
        <v>89</v>
      </c>
      <c r="N654" s="24">
        <v>1709.2</v>
      </c>
      <c r="O654" s="22">
        <f>YEAR(B654)</f>
        <v>2024</v>
      </c>
      <c r="P654" s="25">
        <f>DATE(YEAR(B654),MONTH(B654),1)</f>
        <v>45444</v>
      </c>
      <c r="Q654" s="22" t="str">
        <f>IF(N654&gt;Summary!$C$17,"Outlier","")</f>
        <v/>
      </c>
      <c r="R654" s="22" t="str">
        <f>IF(L654="","None",L654)</f>
        <v>FREESHIP</v>
      </c>
    </row>
    <row r="655" spans="1:18" x14ac:dyDescent="0.2">
      <c r="A655" s="22" t="s">
        <v>2521</v>
      </c>
      <c r="B655" s="23">
        <v>45347</v>
      </c>
      <c r="C655" s="22" t="s">
        <v>2522</v>
      </c>
      <c r="D655" s="22" t="s">
        <v>62</v>
      </c>
      <c r="E655" s="22">
        <v>3</v>
      </c>
      <c r="F655" s="24">
        <v>690.3</v>
      </c>
      <c r="G655" s="22" t="s">
        <v>1490</v>
      </c>
      <c r="H655" s="22" t="s">
        <v>76</v>
      </c>
      <c r="I655" s="22" t="s">
        <v>70</v>
      </c>
      <c r="J655" s="22" t="s">
        <v>2523</v>
      </c>
      <c r="K655" s="22">
        <v>6</v>
      </c>
      <c r="L655" s="22" t="s">
        <v>84</v>
      </c>
      <c r="M655" s="22" t="s">
        <v>88</v>
      </c>
      <c r="N655" s="24">
        <v>2070.9</v>
      </c>
      <c r="O655" s="22">
        <f>YEAR(B655)</f>
        <v>2024</v>
      </c>
      <c r="P655" s="25">
        <f>DATE(YEAR(B655),MONTH(B655),1)</f>
        <v>45323</v>
      </c>
      <c r="Q655" s="22" t="str">
        <f>IF(N655&gt;Summary!$C$17,"Outlier","")</f>
        <v/>
      </c>
      <c r="R655" s="22" t="str">
        <f>IF(L655="","None",L655)</f>
        <v>WINTER15</v>
      </c>
    </row>
    <row r="656" spans="1:18" x14ac:dyDescent="0.2">
      <c r="A656" s="22" t="s">
        <v>2524</v>
      </c>
      <c r="B656" s="23">
        <v>45089</v>
      </c>
      <c r="C656" s="22" t="s">
        <v>2525</v>
      </c>
      <c r="D656" s="22" t="s">
        <v>64</v>
      </c>
      <c r="E656" s="22">
        <v>3</v>
      </c>
      <c r="F656" s="24">
        <v>382.37</v>
      </c>
      <c r="G656" s="22" t="s">
        <v>2526</v>
      </c>
      <c r="H656" s="22" t="s">
        <v>77</v>
      </c>
      <c r="I656" s="22" t="s">
        <v>72</v>
      </c>
      <c r="J656" s="22" t="s">
        <v>2527</v>
      </c>
      <c r="K656" s="22">
        <v>8</v>
      </c>
      <c r="L656" s="22"/>
      <c r="M656" s="22" t="s">
        <v>89</v>
      </c>
      <c r="N656" s="24">
        <v>1147.1099999999999</v>
      </c>
      <c r="O656" s="22">
        <f>YEAR(B656)</f>
        <v>2023</v>
      </c>
      <c r="P656" s="25">
        <f>DATE(YEAR(B656),MONTH(B656),1)</f>
        <v>45078</v>
      </c>
      <c r="Q656" s="22" t="str">
        <f>IF(N656&gt;Summary!$C$17,"Outlier","")</f>
        <v/>
      </c>
      <c r="R656" s="22" t="str">
        <f>IF(L656="","None",L656)</f>
        <v>None</v>
      </c>
    </row>
    <row r="657" spans="1:18" x14ac:dyDescent="0.2">
      <c r="A657" s="22" t="s">
        <v>2528</v>
      </c>
      <c r="B657" s="23">
        <v>44999</v>
      </c>
      <c r="C657" s="22" t="s">
        <v>2529</v>
      </c>
      <c r="D657" s="22" t="s">
        <v>61</v>
      </c>
      <c r="E657" s="22">
        <v>2</v>
      </c>
      <c r="F657" s="24">
        <v>132.6</v>
      </c>
      <c r="G657" s="22" t="s">
        <v>1802</v>
      </c>
      <c r="H657" s="22" t="s">
        <v>77</v>
      </c>
      <c r="I657" s="22" t="s">
        <v>73</v>
      </c>
      <c r="J657" s="22" t="s">
        <v>2530</v>
      </c>
      <c r="K657" s="22">
        <v>4</v>
      </c>
      <c r="L657" s="22" t="s">
        <v>84</v>
      </c>
      <c r="M657" s="22" t="s">
        <v>86</v>
      </c>
      <c r="N657" s="24">
        <v>265.2</v>
      </c>
      <c r="O657" s="22">
        <f>YEAR(B657)</f>
        <v>2023</v>
      </c>
      <c r="P657" s="25">
        <f>DATE(YEAR(B657),MONTH(B657),1)</f>
        <v>44986</v>
      </c>
      <c r="Q657" s="22" t="str">
        <f>IF(N657&gt;Summary!$C$17,"Outlier","")</f>
        <v/>
      </c>
      <c r="R657" s="22" t="str">
        <f>IF(L657="","None",L657)</f>
        <v>WINTER15</v>
      </c>
    </row>
    <row r="658" spans="1:18" x14ac:dyDescent="0.2">
      <c r="A658" s="22" t="s">
        <v>2531</v>
      </c>
      <c r="B658" s="23">
        <v>45309</v>
      </c>
      <c r="C658" s="22" t="s">
        <v>2532</v>
      </c>
      <c r="D658" s="22" t="s">
        <v>65</v>
      </c>
      <c r="E658" s="22">
        <v>2</v>
      </c>
      <c r="F658" s="24">
        <v>189.06</v>
      </c>
      <c r="G658" s="22" t="s">
        <v>2533</v>
      </c>
      <c r="H658" s="22" t="s">
        <v>78</v>
      </c>
      <c r="I658" s="22" t="s">
        <v>70</v>
      </c>
      <c r="J658" s="22" t="s">
        <v>2534</v>
      </c>
      <c r="K658" s="22">
        <v>7</v>
      </c>
      <c r="L658" s="22" t="s">
        <v>83</v>
      </c>
      <c r="M658" s="22" t="s">
        <v>87</v>
      </c>
      <c r="N658" s="24">
        <v>378.12</v>
      </c>
      <c r="O658" s="22">
        <f>YEAR(B658)</f>
        <v>2024</v>
      </c>
      <c r="P658" s="25">
        <f>DATE(YEAR(B658),MONTH(B658),1)</f>
        <v>45292</v>
      </c>
      <c r="Q658" s="22" t="str">
        <f>IF(N658&gt;Summary!$C$17,"Outlier","")</f>
        <v/>
      </c>
      <c r="R658" s="22" t="str">
        <f>IF(L658="","None",L658)</f>
        <v>SAVE10</v>
      </c>
    </row>
    <row r="659" spans="1:18" x14ac:dyDescent="0.2">
      <c r="A659" s="22" t="s">
        <v>2535</v>
      </c>
      <c r="B659" s="23">
        <v>45284</v>
      </c>
      <c r="C659" s="22" t="s">
        <v>2536</v>
      </c>
      <c r="D659" s="22" t="s">
        <v>64</v>
      </c>
      <c r="E659" s="22">
        <v>4</v>
      </c>
      <c r="F659" s="24">
        <v>87.79</v>
      </c>
      <c r="G659" s="22" t="s">
        <v>1381</v>
      </c>
      <c r="H659" s="22" t="s">
        <v>75</v>
      </c>
      <c r="I659" s="22" t="s">
        <v>73</v>
      </c>
      <c r="J659" s="22" t="s">
        <v>2537</v>
      </c>
      <c r="K659" s="22">
        <v>6</v>
      </c>
      <c r="L659" s="22" t="s">
        <v>82</v>
      </c>
      <c r="M659" s="22" t="s">
        <v>89</v>
      </c>
      <c r="N659" s="24">
        <v>351.16</v>
      </c>
      <c r="O659" s="22">
        <f>YEAR(B659)</f>
        <v>2023</v>
      </c>
      <c r="P659" s="25">
        <f>DATE(YEAR(B659),MONTH(B659),1)</f>
        <v>45261</v>
      </c>
      <c r="Q659" s="22" t="str">
        <f>IF(N659&gt;Summary!$C$17,"Outlier","")</f>
        <v/>
      </c>
      <c r="R659" s="22" t="str">
        <f>IF(L659="","None",L659)</f>
        <v>FREESHIP</v>
      </c>
    </row>
    <row r="660" spans="1:18" x14ac:dyDescent="0.2">
      <c r="A660" s="22" t="s">
        <v>2538</v>
      </c>
      <c r="B660" s="23">
        <v>45765</v>
      </c>
      <c r="C660" s="22" t="s">
        <v>2539</v>
      </c>
      <c r="D660" s="22" t="s">
        <v>62</v>
      </c>
      <c r="E660" s="22">
        <v>2</v>
      </c>
      <c r="F660" s="24">
        <v>46.36</v>
      </c>
      <c r="G660" s="22" t="s">
        <v>1238</v>
      </c>
      <c r="H660" s="22" t="s">
        <v>78</v>
      </c>
      <c r="I660" s="22" t="s">
        <v>72</v>
      </c>
      <c r="J660" s="22" t="s">
        <v>2540</v>
      </c>
      <c r="K660" s="22">
        <v>4</v>
      </c>
      <c r="L660" s="22" t="s">
        <v>83</v>
      </c>
      <c r="M660" s="22" t="s">
        <v>88</v>
      </c>
      <c r="N660" s="24">
        <v>92.72</v>
      </c>
      <c r="O660" s="22">
        <f>YEAR(B660)</f>
        <v>2025</v>
      </c>
      <c r="P660" s="25">
        <f>DATE(YEAR(B660),MONTH(B660),1)</f>
        <v>45748</v>
      </c>
      <c r="Q660" s="22" t="str">
        <f>IF(N660&gt;Summary!$C$17,"Outlier","")</f>
        <v/>
      </c>
      <c r="R660" s="22" t="str">
        <f>IF(L660="","None",L660)</f>
        <v>SAVE10</v>
      </c>
    </row>
    <row r="661" spans="1:18" x14ac:dyDescent="0.2">
      <c r="A661" s="22" t="s">
        <v>2541</v>
      </c>
      <c r="B661" s="23">
        <v>45591</v>
      </c>
      <c r="C661" s="22" t="s">
        <v>2542</v>
      </c>
      <c r="D661" s="22" t="s">
        <v>67</v>
      </c>
      <c r="E661" s="22">
        <v>2</v>
      </c>
      <c r="F661" s="24">
        <v>642.04</v>
      </c>
      <c r="G661" s="22" t="s">
        <v>2153</v>
      </c>
      <c r="H661" s="22" t="s">
        <v>78</v>
      </c>
      <c r="I661" s="22" t="s">
        <v>69</v>
      </c>
      <c r="J661" s="22" t="s">
        <v>2543</v>
      </c>
      <c r="K661" s="22">
        <v>4</v>
      </c>
      <c r="L661" s="22" t="s">
        <v>84</v>
      </c>
      <c r="M661" s="22" t="s">
        <v>86</v>
      </c>
      <c r="N661" s="24">
        <v>1284.08</v>
      </c>
      <c r="O661" s="22">
        <f>YEAR(B661)</f>
        <v>2024</v>
      </c>
      <c r="P661" s="25">
        <f>DATE(YEAR(B661),MONTH(B661),1)</f>
        <v>45566</v>
      </c>
      <c r="Q661" s="22" t="str">
        <f>IF(N661&gt;Summary!$C$17,"Outlier","")</f>
        <v/>
      </c>
      <c r="R661" s="22" t="str">
        <f>IF(L661="","None",L661)</f>
        <v>WINTER15</v>
      </c>
    </row>
    <row r="662" spans="1:18" x14ac:dyDescent="0.2">
      <c r="A662" s="22" t="s">
        <v>2544</v>
      </c>
      <c r="B662" s="23">
        <v>45584</v>
      </c>
      <c r="C662" s="22" t="s">
        <v>2545</v>
      </c>
      <c r="D662" s="22" t="s">
        <v>61</v>
      </c>
      <c r="E662" s="22">
        <v>2</v>
      </c>
      <c r="F662" s="24">
        <v>651.57000000000005</v>
      </c>
      <c r="G662" s="22" t="s">
        <v>680</v>
      </c>
      <c r="H662" s="22" t="s">
        <v>77</v>
      </c>
      <c r="I662" s="22" t="s">
        <v>70</v>
      </c>
      <c r="J662" s="22" t="s">
        <v>2546</v>
      </c>
      <c r="K662" s="22">
        <v>7</v>
      </c>
      <c r="L662" s="22" t="s">
        <v>84</v>
      </c>
      <c r="M662" s="22" t="s">
        <v>87</v>
      </c>
      <c r="N662" s="24">
        <v>1303.1400000000001</v>
      </c>
      <c r="O662" s="22">
        <f>YEAR(B662)</f>
        <v>2024</v>
      </c>
      <c r="P662" s="25">
        <f>DATE(YEAR(B662),MONTH(B662),1)</f>
        <v>45566</v>
      </c>
      <c r="Q662" s="22" t="str">
        <f>IF(N662&gt;Summary!$C$17,"Outlier","")</f>
        <v/>
      </c>
      <c r="R662" s="22" t="str">
        <f>IF(L662="","None",L662)</f>
        <v>WINTER15</v>
      </c>
    </row>
    <row r="663" spans="1:18" x14ac:dyDescent="0.2">
      <c r="A663" s="22" t="s">
        <v>2547</v>
      </c>
      <c r="B663" s="23">
        <v>45716</v>
      </c>
      <c r="C663" s="22" t="s">
        <v>2548</v>
      </c>
      <c r="D663" s="22" t="s">
        <v>64</v>
      </c>
      <c r="E663" s="22">
        <v>3</v>
      </c>
      <c r="F663" s="24">
        <v>424.89</v>
      </c>
      <c r="G663" s="22" t="s">
        <v>2549</v>
      </c>
      <c r="H663" s="22" t="s">
        <v>77</v>
      </c>
      <c r="I663" s="22" t="s">
        <v>73</v>
      </c>
      <c r="J663" s="22" t="s">
        <v>2550</v>
      </c>
      <c r="K663" s="22">
        <v>6</v>
      </c>
      <c r="L663" s="22" t="s">
        <v>82</v>
      </c>
      <c r="M663" s="22" t="s">
        <v>88</v>
      </c>
      <c r="N663" s="24">
        <v>1274.67</v>
      </c>
      <c r="O663" s="22">
        <f>YEAR(B663)</f>
        <v>2025</v>
      </c>
      <c r="P663" s="25">
        <f>DATE(YEAR(B663),MONTH(B663),1)</f>
        <v>45689</v>
      </c>
      <c r="Q663" s="22" t="str">
        <f>IF(N663&gt;Summary!$C$17,"Outlier","")</f>
        <v/>
      </c>
      <c r="R663" s="22" t="str">
        <f>IF(L663="","None",L663)</f>
        <v>FREESHIP</v>
      </c>
    </row>
    <row r="664" spans="1:18" x14ac:dyDescent="0.2">
      <c r="A664" s="22" t="s">
        <v>2551</v>
      </c>
      <c r="B664" s="23">
        <v>44954</v>
      </c>
      <c r="C664" s="22" t="s">
        <v>2552</v>
      </c>
      <c r="D664" s="22" t="s">
        <v>63</v>
      </c>
      <c r="E664" s="22">
        <v>3</v>
      </c>
      <c r="F664" s="24">
        <v>438.89</v>
      </c>
      <c r="G664" s="22" t="s">
        <v>2553</v>
      </c>
      <c r="H664" s="22" t="s">
        <v>75</v>
      </c>
      <c r="I664" s="22" t="s">
        <v>72</v>
      </c>
      <c r="J664" s="22" t="s">
        <v>2554</v>
      </c>
      <c r="K664" s="22">
        <v>3</v>
      </c>
      <c r="L664" s="22"/>
      <c r="M664" s="22" t="s">
        <v>87</v>
      </c>
      <c r="N664" s="24">
        <v>1316.67</v>
      </c>
      <c r="O664" s="22">
        <f>YEAR(B664)</f>
        <v>2023</v>
      </c>
      <c r="P664" s="25">
        <f>DATE(YEAR(B664),MONTH(B664),1)</f>
        <v>44927</v>
      </c>
      <c r="Q664" s="22" t="str">
        <f>IF(N664&gt;Summary!$C$17,"Outlier","")</f>
        <v/>
      </c>
      <c r="R664" s="22" t="str">
        <f>IF(L664="","None",L664)</f>
        <v>None</v>
      </c>
    </row>
    <row r="665" spans="1:18" x14ac:dyDescent="0.2">
      <c r="A665" s="22" t="s">
        <v>2555</v>
      </c>
      <c r="B665" s="23">
        <v>45397</v>
      </c>
      <c r="C665" s="22" t="s">
        <v>2556</v>
      </c>
      <c r="D665" s="22" t="s">
        <v>65</v>
      </c>
      <c r="E665" s="22">
        <v>1</v>
      </c>
      <c r="F665" s="24">
        <v>72.599999999999994</v>
      </c>
      <c r="G665" s="22" t="s">
        <v>2062</v>
      </c>
      <c r="H665" s="22" t="s">
        <v>77</v>
      </c>
      <c r="I665" s="22" t="s">
        <v>73</v>
      </c>
      <c r="J665" s="22" t="s">
        <v>2557</v>
      </c>
      <c r="K665" s="22">
        <v>6</v>
      </c>
      <c r="L665" s="22" t="s">
        <v>82</v>
      </c>
      <c r="M665" s="22" t="s">
        <v>89</v>
      </c>
      <c r="N665" s="24">
        <v>72.599999999999994</v>
      </c>
      <c r="O665" s="22">
        <f>YEAR(B665)</f>
        <v>2024</v>
      </c>
      <c r="P665" s="25">
        <f>DATE(YEAR(B665),MONTH(B665),1)</f>
        <v>45383</v>
      </c>
      <c r="Q665" s="22" t="str">
        <f>IF(N665&gt;Summary!$C$17,"Outlier","")</f>
        <v/>
      </c>
      <c r="R665" s="22" t="str">
        <f>IF(L665="","None",L665)</f>
        <v>FREESHIP</v>
      </c>
    </row>
    <row r="666" spans="1:18" x14ac:dyDescent="0.2">
      <c r="A666" s="22" t="s">
        <v>2558</v>
      </c>
      <c r="B666" s="23">
        <v>45645</v>
      </c>
      <c r="C666" s="22" t="s">
        <v>1028</v>
      </c>
      <c r="D666" s="22" t="s">
        <v>63</v>
      </c>
      <c r="E666" s="22">
        <v>4</v>
      </c>
      <c r="F666" s="24">
        <v>194.75</v>
      </c>
      <c r="G666" s="22" t="s">
        <v>2559</v>
      </c>
      <c r="H666" s="22" t="s">
        <v>75</v>
      </c>
      <c r="I666" s="22" t="s">
        <v>70</v>
      </c>
      <c r="J666" s="22" t="s">
        <v>2560</v>
      </c>
      <c r="K666" s="22">
        <v>5</v>
      </c>
      <c r="L666" s="22"/>
      <c r="M666" s="22" t="s">
        <v>87</v>
      </c>
      <c r="N666" s="24">
        <v>779</v>
      </c>
      <c r="O666" s="22">
        <f>YEAR(B666)</f>
        <v>2024</v>
      </c>
      <c r="P666" s="25">
        <f>DATE(YEAR(B666),MONTH(B666),1)</f>
        <v>45627</v>
      </c>
      <c r="Q666" s="22" t="str">
        <f>IF(N666&gt;Summary!$C$17,"Outlier","")</f>
        <v/>
      </c>
      <c r="R666" s="22" t="str">
        <f>IF(L666="","None",L666)</f>
        <v>None</v>
      </c>
    </row>
    <row r="667" spans="1:18" x14ac:dyDescent="0.2">
      <c r="A667" s="22" t="s">
        <v>2561</v>
      </c>
      <c r="B667" s="23">
        <v>45048</v>
      </c>
      <c r="C667" s="22" t="s">
        <v>2562</v>
      </c>
      <c r="D667" s="22" t="s">
        <v>64</v>
      </c>
      <c r="E667" s="22">
        <v>4</v>
      </c>
      <c r="F667" s="24">
        <v>231.26</v>
      </c>
      <c r="G667" s="22" t="s">
        <v>2563</v>
      </c>
      <c r="H667" s="22" t="s">
        <v>79</v>
      </c>
      <c r="I667" s="22" t="s">
        <v>70</v>
      </c>
      <c r="J667" s="22" t="s">
        <v>2564</v>
      </c>
      <c r="K667" s="22">
        <v>6</v>
      </c>
      <c r="L667" s="22" t="s">
        <v>84</v>
      </c>
      <c r="M667" s="22" t="s">
        <v>88</v>
      </c>
      <c r="N667" s="24">
        <v>925.04</v>
      </c>
      <c r="O667" s="22">
        <f>YEAR(B667)</f>
        <v>2023</v>
      </c>
      <c r="P667" s="25">
        <f>DATE(YEAR(B667),MONTH(B667),1)</f>
        <v>45047</v>
      </c>
      <c r="Q667" s="22" t="str">
        <f>IF(N667&gt;Summary!$C$17,"Outlier","")</f>
        <v/>
      </c>
      <c r="R667" s="22" t="str">
        <f>IF(L667="","None",L667)</f>
        <v>WINTER15</v>
      </c>
    </row>
    <row r="668" spans="1:18" x14ac:dyDescent="0.2">
      <c r="A668" s="22" t="s">
        <v>2565</v>
      </c>
      <c r="B668" s="23">
        <v>45535</v>
      </c>
      <c r="C668" s="22" t="s">
        <v>2566</v>
      </c>
      <c r="D668" s="22" t="s">
        <v>65</v>
      </c>
      <c r="E668" s="22">
        <v>4</v>
      </c>
      <c r="F668" s="24">
        <v>327.12</v>
      </c>
      <c r="G668" s="22" t="s">
        <v>2368</v>
      </c>
      <c r="H668" s="22" t="s">
        <v>76</v>
      </c>
      <c r="I668" s="22" t="s">
        <v>73</v>
      </c>
      <c r="J668" s="22" t="s">
        <v>2567</v>
      </c>
      <c r="K668" s="22">
        <v>4</v>
      </c>
      <c r="L668" s="22"/>
      <c r="M668" s="22" t="s">
        <v>86</v>
      </c>
      <c r="N668" s="24">
        <v>1308.48</v>
      </c>
      <c r="O668" s="22">
        <f>YEAR(B668)</f>
        <v>2024</v>
      </c>
      <c r="P668" s="25">
        <f>DATE(YEAR(B668),MONTH(B668),1)</f>
        <v>45505</v>
      </c>
      <c r="Q668" s="22" t="str">
        <f>IF(N668&gt;Summary!$C$17,"Outlier","")</f>
        <v/>
      </c>
      <c r="R668" s="22" t="str">
        <f>IF(L668="","None",L668)</f>
        <v>None</v>
      </c>
    </row>
    <row r="669" spans="1:18" x14ac:dyDescent="0.2">
      <c r="A669" s="22" t="s">
        <v>2568</v>
      </c>
      <c r="B669" s="23">
        <v>45049</v>
      </c>
      <c r="C669" s="22" t="s">
        <v>2569</v>
      </c>
      <c r="D669" s="22" t="s">
        <v>63</v>
      </c>
      <c r="E669" s="22">
        <v>1</v>
      </c>
      <c r="F669" s="24">
        <v>466.42</v>
      </c>
      <c r="G669" s="22" t="s">
        <v>907</v>
      </c>
      <c r="H669" s="22" t="s">
        <v>78</v>
      </c>
      <c r="I669" s="22" t="s">
        <v>71</v>
      </c>
      <c r="J669" s="22" t="s">
        <v>2570</v>
      </c>
      <c r="K669" s="22">
        <v>5</v>
      </c>
      <c r="L669" s="22" t="s">
        <v>83</v>
      </c>
      <c r="M669" s="22" t="s">
        <v>86</v>
      </c>
      <c r="N669" s="24">
        <v>466.42</v>
      </c>
      <c r="O669" s="22">
        <f>YEAR(B669)</f>
        <v>2023</v>
      </c>
      <c r="P669" s="25">
        <f>DATE(YEAR(B669),MONTH(B669),1)</f>
        <v>45047</v>
      </c>
      <c r="Q669" s="22" t="str">
        <f>IF(N669&gt;Summary!$C$17,"Outlier","")</f>
        <v/>
      </c>
      <c r="R669" s="22" t="str">
        <f>IF(L669="","None",L669)</f>
        <v>SAVE10</v>
      </c>
    </row>
    <row r="670" spans="1:18" x14ac:dyDescent="0.2">
      <c r="A670" s="22" t="s">
        <v>2571</v>
      </c>
      <c r="B670" s="23">
        <v>45478</v>
      </c>
      <c r="C670" s="22" t="s">
        <v>2572</v>
      </c>
      <c r="D670" s="22" t="s">
        <v>65</v>
      </c>
      <c r="E670" s="22">
        <v>2</v>
      </c>
      <c r="F670" s="24">
        <v>253.67</v>
      </c>
      <c r="G670" s="22" t="s">
        <v>707</v>
      </c>
      <c r="H670" s="22" t="s">
        <v>75</v>
      </c>
      <c r="I670" s="22" t="s">
        <v>72</v>
      </c>
      <c r="J670" s="22" t="s">
        <v>2573</v>
      </c>
      <c r="K670" s="22">
        <v>3</v>
      </c>
      <c r="L670" s="22" t="s">
        <v>84</v>
      </c>
      <c r="M670" s="22" t="s">
        <v>87</v>
      </c>
      <c r="N670" s="24">
        <v>507.34</v>
      </c>
      <c r="O670" s="22">
        <f>YEAR(B670)</f>
        <v>2024</v>
      </c>
      <c r="P670" s="25">
        <f>DATE(YEAR(B670),MONTH(B670),1)</f>
        <v>45474</v>
      </c>
      <c r="Q670" s="22" t="str">
        <f>IF(N670&gt;Summary!$C$17,"Outlier","")</f>
        <v/>
      </c>
      <c r="R670" s="22" t="str">
        <f>IF(L670="","None",L670)</f>
        <v>WINTER15</v>
      </c>
    </row>
    <row r="671" spans="1:18" x14ac:dyDescent="0.2">
      <c r="A671" s="22" t="s">
        <v>2574</v>
      </c>
      <c r="B671" s="23">
        <v>44962</v>
      </c>
      <c r="C671" s="22" t="s">
        <v>2575</v>
      </c>
      <c r="D671" s="22" t="s">
        <v>66</v>
      </c>
      <c r="E671" s="22">
        <v>1</v>
      </c>
      <c r="F671" s="24">
        <v>257</v>
      </c>
      <c r="G671" s="22" t="s">
        <v>2576</v>
      </c>
      <c r="H671" s="22" t="s">
        <v>77</v>
      </c>
      <c r="I671" s="22" t="s">
        <v>73</v>
      </c>
      <c r="J671" s="22" t="s">
        <v>2577</v>
      </c>
      <c r="K671" s="22">
        <v>5</v>
      </c>
      <c r="L671" s="22"/>
      <c r="M671" s="22" t="s">
        <v>90</v>
      </c>
      <c r="N671" s="24">
        <v>257</v>
      </c>
      <c r="O671" s="22">
        <f>YEAR(B671)</f>
        <v>2023</v>
      </c>
      <c r="P671" s="25">
        <f>DATE(YEAR(B671),MONTH(B671),1)</f>
        <v>44958</v>
      </c>
      <c r="Q671" s="22" t="str">
        <f>IF(N671&gt;Summary!$C$17,"Outlier","")</f>
        <v/>
      </c>
      <c r="R671" s="22" t="str">
        <f>IF(L671="","None",L671)</f>
        <v>None</v>
      </c>
    </row>
    <row r="672" spans="1:18" x14ac:dyDescent="0.2">
      <c r="A672" s="22" t="s">
        <v>2578</v>
      </c>
      <c r="B672" s="23">
        <v>45400</v>
      </c>
      <c r="C672" s="22" t="s">
        <v>2579</v>
      </c>
      <c r="D672" s="22" t="s">
        <v>66</v>
      </c>
      <c r="E672" s="22">
        <v>4</v>
      </c>
      <c r="F672" s="24">
        <v>539.20000000000005</v>
      </c>
      <c r="G672" s="22" t="s">
        <v>1490</v>
      </c>
      <c r="H672" s="22" t="s">
        <v>76</v>
      </c>
      <c r="I672" s="22" t="s">
        <v>71</v>
      </c>
      <c r="J672" s="22" t="s">
        <v>2580</v>
      </c>
      <c r="K672" s="22">
        <v>8</v>
      </c>
      <c r="L672" s="22" t="s">
        <v>82</v>
      </c>
      <c r="M672" s="22" t="s">
        <v>88</v>
      </c>
      <c r="N672" s="24">
        <v>2156.8000000000002</v>
      </c>
      <c r="O672" s="22">
        <f>YEAR(B672)</f>
        <v>2024</v>
      </c>
      <c r="P672" s="25">
        <f>DATE(YEAR(B672),MONTH(B672),1)</f>
        <v>45383</v>
      </c>
      <c r="Q672" s="22" t="str">
        <f>IF(N672&gt;Summary!$C$17,"Outlier","")</f>
        <v/>
      </c>
      <c r="R672" s="22" t="str">
        <f>IF(L672="","None",L672)</f>
        <v>FREESHIP</v>
      </c>
    </row>
    <row r="673" spans="1:18" x14ac:dyDescent="0.2">
      <c r="A673" s="22" t="s">
        <v>2581</v>
      </c>
      <c r="B673" s="23">
        <v>45092</v>
      </c>
      <c r="C673" s="22" t="s">
        <v>2582</v>
      </c>
      <c r="D673" s="22" t="s">
        <v>61</v>
      </c>
      <c r="E673" s="22">
        <v>5</v>
      </c>
      <c r="F673" s="24">
        <v>50.74</v>
      </c>
      <c r="G673" s="22" t="s">
        <v>736</v>
      </c>
      <c r="H673" s="22" t="s">
        <v>78</v>
      </c>
      <c r="I673" s="22" t="s">
        <v>73</v>
      </c>
      <c r="J673" s="22" t="s">
        <v>2583</v>
      </c>
      <c r="K673" s="22">
        <v>7</v>
      </c>
      <c r="L673" s="22" t="s">
        <v>84</v>
      </c>
      <c r="M673" s="22" t="s">
        <v>88</v>
      </c>
      <c r="N673" s="24">
        <v>253.7</v>
      </c>
      <c r="O673" s="22">
        <f>YEAR(B673)</f>
        <v>2023</v>
      </c>
      <c r="P673" s="25">
        <f>DATE(YEAR(B673),MONTH(B673),1)</f>
        <v>45078</v>
      </c>
      <c r="Q673" s="22" t="str">
        <f>IF(N673&gt;Summary!$C$17,"Outlier","")</f>
        <v/>
      </c>
      <c r="R673" s="22" t="str">
        <f>IF(L673="","None",L673)</f>
        <v>WINTER15</v>
      </c>
    </row>
    <row r="674" spans="1:18" x14ac:dyDescent="0.2">
      <c r="A674" s="22" t="s">
        <v>2584</v>
      </c>
      <c r="B674" s="23">
        <v>45055</v>
      </c>
      <c r="C674" s="22" t="s">
        <v>2585</v>
      </c>
      <c r="D674" s="22" t="s">
        <v>67</v>
      </c>
      <c r="E674" s="22">
        <v>2</v>
      </c>
      <c r="F674" s="24">
        <v>624.16</v>
      </c>
      <c r="G674" s="22" t="s">
        <v>2395</v>
      </c>
      <c r="H674" s="22" t="s">
        <v>77</v>
      </c>
      <c r="I674" s="22" t="s">
        <v>70</v>
      </c>
      <c r="J674" s="22" t="s">
        <v>2586</v>
      </c>
      <c r="K674" s="22">
        <v>2</v>
      </c>
      <c r="L674" s="22" t="s">
        <v>83</v>
      </c>
      <c r="M674" s="22" t="s">
        <v>89</v>
      </c>
      <c r="N674" s="24">
        <v>1248.32</v>
      </c>
      <c r="O674" s="22">
        <f>YEAR(B674)</f>
        <v>2023</v>
      </c>
      <c r="P674" s="25">
        <f>DATE(YEAR(B674),MONTH(B674),1)</f>
        <v>45047</v>
      </c>
      <c r="Q674" s="22" t="str">
        <f>IF(N674&gt;Summary!$C$17,"Outlier","")</f>
        <v/>
      </c>
      <c r="R674" s="22" t="str">
        <f>IF(L674="","None",L674)</f>
        <v>SAVE10</v>
      </c>
    </row>
    <row r="675" spans="1:18" x14ac:dyDescent="0.2">
      <c r="A675" s="22" t="s">
        <v>2587</v>
      </c>
      <c r="B675" s="23">
        <v>44978</v>
      </c>
      <c r="C675" s="22" t="s">
        <v>2588</v>
      </c>
      <c r="D675" s="22" t="s">
        <v>64</v>
      </c>
      <c r="E675" s="22">
        <v>2</v>
      </c>
      <c r="F675" s="24">
        <v>372.92</v>
      </c>
      <c r="G675" s="22" t="s">
        <v>547</v>
      </c>
      <c r="H675" s="22" t="s">
        <v>76</v>
      </c>
      <c r="I675" s="22" t="s">
        <v>69</v>
      </c>
      <c r="J675" s="22" t="s">
        <v>2589</v>
      </c>
      <c r="K675" s="22">
        <v>7</v>
      </c>
      <c r="L675" s="22" t="s">
        <v>83</v>
      </c>
      <c r="M675" s="22" t="s">
        <v>86</v>
      </c>
      <c r="N675" s="24">
        <v>745.84</v>
      </c>
      <c r="O675" s="22">
        <f>YEAR(B675)</f>
        <v>2023</v>
      </c>
      <c r="P675" s="25">
        <f>DATE(YEAR(B675),MONTH(B675),1)</f>
        <v>44958</v>
      </c>
      <c r="Q675" s="22" t="str">
        <f>IF(N675&gt;Summary!$C$17,"Outlier","")</f>
        <v/>
      </c>
      <c r="R675" s="22" t="str">
        <f>IF(L675="","None",L675)</f>
        <v>SAVE10</v>
      </c>
    </row>
    <row r="676" spans="1:18" x14ac:dyDescent="0.2">
      <c r="A676" s="22" t="s">
        <v>2590</v>
      </c>
      <c r="B676" s="23">
        <v>45300</v>
      </c>
      <c r="C676" s="22" t="s">
        <v>2591</v>
      </c>
      <c r="D676" s="22" t="s">
        <v>63</v>
      </c>
      <c r="E676" s="22">
        <v>4</v>
      </c>
      <c r="F676" s="24">
        <v>358.75</v>
      </c>
      <c r="G676" s="22" t="s">
        <v>2592</v>
      </c>
      <c r="H676" s="22" t="s">
        <v>78</v>
      </c>
      <c r="I676" s="22" t="s">
        <v>69</v>
      </c>
      <c r="J676" s="22" t="s">
        <v>2593</v>
      </c>
      <c r="K676" s="22">
        <v>9</v>
      </c>
      <c r="L676" s="22" t="s">
        <v>83</v>
      </c>
      <c r="M676" s="22" t="s">
        <v>87</v>
      </c>
      <c r="N676" s="24">
        <v>1435</v>
      </c>
      <c r="O676" s="22">
        <f>YEAR(B676)</f>
        <v>2024</v>
      </c>
      <c r="P676" s="25">
        <f>DATE(YEAR(B676),MONTH(B676),1)</f>
        <v>45292</v>
      </c>
      <c r="Q676" s="22" t="str">
        <f>IF(N676&gt;Summary!$C$17,"Outlier","")</f>
        <v/>
      </c>
      <c r="R676" s="22" t="str">
        <f>IF(L676="","None",L676)</f>
        <v>SAVE10</v>
      </c>
    </row>
    <row r="677" spans="1:18" x14ac:dyDescent="0.2">
      <c r="A677" s="22" t="s">
        <v>2594</v>
      </c>
      <c r="B677" s="23">
        <v>45510</v>
      </c>
      <c r="C677" s="22" t="s">
        <v>2595</v>
      </c>
      <c r="D677" s="22" t="s">
        <v>66</v>
      </c>
      <c r="E677" s="22">
        <v>3</v>
      </c>
      <c r="F677" s="24">
        <v>342.02</v>
      </c>
      <c r="G677" s="22" t="s">
        <v>2114</v>
      </c>
      <c r="H677" s="22" t="s">
        <v>77</v>
      </c>
      <c r="I677" s="22" t="s">
        <v>71</v>
      </c>
      <c r="J677" s="22" t="s">
        <v>2596</v>
      </c>
      <c r="K677" s="22">
        <v>5</v>
      </c>
      <c r="L677" s="22"/>
      <c r="M677" s="22" t="s">
        <v>86</v>
      </c>
      <c r="N677" s="24">
        <v>1026.06</v>
      </c>
      <c r="O677" s="22">
        <f>YEAR(B677)</f>
        <v>2024</v>
      </c>
      <c r="P677" s="25">
        <f>DATE(YEAR(B677),MONTH(B677),1)</f>
        <v>45505</v>
      </c>
      <c r="Q677" s="22" t="str">
        <f>IF(N677&gt;Summary!$C$17,"Outlier","")</f>
        <v/>
      </c>
      <c r="R677" s="22" t="str">
        <f>IF(L677="","None",L677)</f>
        <v>None</v>
      </c>
    </row>
    <row r="678" spans="1:18" x14ac:dyDescent="0.2">
      <c r="A678" s="22" t="s">
        <v>2597</v>
      </c>
      <c r="B678" s="23">
        <v>45831</v>
      </c>
      <c r="C678" s="22" t="s">
        <v>2598</v>
      </c>
      <c r="D678" s="22" t="s">
        <v>63</v>
      </c>
      <c r="E678" s="22">
        <v>2</v>
      </c>
      <c r="F678" s="24">
        <v>422.34</v>
      </c>
      <c r="G678" s="22" t="s">
        <v>2553</v>
      </c>
      <c r="H678" s="22" t="s">
        <v>76</v>
      </c>
      <c r="I678" s="22" t="s">
        <v>73</v>
      </c>
      <c r="J678" s="22" t="s">
        <v>2599</v>
      </c>
      <c r="K678" s="22">
        <v>4</v>
      </c>
      <c r="L678" s="22" t="s">
        <v>82</v>
      </c>
      <c r="M678" s="22" t="s">
        <v>89</v>
      </c>
      <c r="N678" s="24">
        <v>844.68</v>
      </c>
      <c r="O678" s="22">
        <f>YEAR(B678)</f>
        <v>2025</v>
      </c>
      <c r="P678" s="25">
        <f>DATE(YEAR(B678),MONTH(B678),1)</f>
        <v>45809</v>
      </c>
      <c r="Q678" s="22" t="str">
        <f>IF(N678&gt;Summary!$C$17,"Outlier","")</f>
        <v/>
      </c>
      <c r="R678" s="22" t="str">
        <f>IF(L678="","None",L678)</f>
        <v>FREESHIP</v>
      </c>
    </row>
    <row r="679" spans="1:18" x14ac:dyDescent="0.2">
      <c r="A679" s="22" t="s">
        <v>2600</v>
      </c>
      <c r="B679" s="23">
        <v>45750</v>
      </c>
      <c r="C679" s="22" t="s">
        <v>2601</v>
      </c>
      <c r="D679" s="22" t="s">
        <v>64</v>
      </c>
      <c r="E679" s="22">
        <v>5</v>
      </c>
      <c r="F679" s="24">
        <v>22.07</v>
      </c>
      <c r="G679" s="22" t="s">
        <v>167</v>
      </c>
      <c r="H679" s="22" t="s">
        <v>79</v>
      </c>
      <c r="I679" s="22" t="s">
        <v>73</v>
      </c>
      <c r="J679" s="22" t="s">
        <v>2602</v>
      </c>
      <c r="K679" s="22">
        <v>7</v>
      </c>
      <c r="L679" s="22" t="s">
        <v>82</v>
      </c>
      <c r="M679" s="22" t="s">
        <v>89</v>
      </c>
      <c r="N679" s="24">
        <v>110.35</v>
      </c>
      <c r="O679" s="22">
        <f>YEAR(B679)</f>
        <v>2025</v>
      </c>
      <c r="P679" s="25">
        <f>DATE(YEAR(B679),MONTH(B679),1)</f>
        <v>45748</v>
      </c>
      <c r="Q679" s="22" t="str">
        <f>IF(N679&gt;Summary!$C$17,"Outlier","")</f>
        <v/>
      </c>
      <c r="R679" s="22" t="str">
        <f>IF(L679="","None",L679)</f>
        <v>FREESHIP</v>
      </c>
    </row>
    <row r="680" spans="1:18" x14ac:dyDescent="0.2">
      <c r="A680" s="22" t="s">
        <v>2603</v>
      </c>
      <c r="B680" s="23">
        <v>45620</v>
      </c>
      <c r="C680" s="22" t="s">
        <v>2604</v>
      </c>
      <c r="D680" s="22" t="s">
        <v>61</v>
      </c>
      <c r="E680" s="22">
        <v>3</v>
      </c>
      <c r="F680" s="24">
        <v>163.13</v>
      </c>
      <c r="G680" s="22" t="s">
        <v>965</v>
      </c>
      <c r="H680" s="22" t="s">
        <v>78</v>
      </c>
      <c r="I680" s="22" t="s">
        <v>70</v>
      </c>
      <c r="J680" s="22" t="s">
        <v>2605</v>
      </c>
      <c r="K680" s="22">
        <v>5</v>
      </c>
      <c r="L680" s="22" t="s">
        <v>84</v>
      </c>
      <c r="M680" s="22" t="s">
        <v>87</v>
      </c>
      <c r="N680" s="24">
        <v>489.39</v>
      </c>
      <c r="O680" s="22">
        <f>YEAR(B680)</f>
        <v>2024</v>
      </c>
      <c r="P680" s="25">
        <f>DATE(YEAR(B680),MONTH(B680),1)</f>
        <v>45597</v>
      </c>
      <c r="Q680" s="22" t="str">
        <f>IF(N680&gt;Summary!$C$17,"Outlier","")</f>
        <v/>
      </c>
      <c r="R680" s="22" t="str">
        <f>IF(L680="","None",L680)</f>
        <v>WINTER15</v>
      </c>
    </row>
    <row r="681" spans="1:18" x14ac:dyDescent="0.2">
      <c r="A681" s="22" t="s">
        <v>2606</v>
      </c>
      <c r="B681" s="23">
        <v>44959</v>
      </c>
      <c r="C681" s="22" t="s">
        <v>2607</v>
      </c>
      <c r="D681" s="22" t="s">
        <v>64</v>
      </c>
      <c r="E681" s="22">
        <v>3</v>
      </c>
      <c r="F681" s="24">
        <v>360.66</v>
      </c>
      <c r="G681" s="22" t="s">
        <v>1639</v>
      </c>
      <c r="H681" s="22" t="s">
        <v>79</v>
      </c>
      <c r="I681" s="22" t="s">
        <v>72</v>
      </c>
      <c r="J681" s="22" t="s">
        <v>2608</v>
      </c>
      <c r="K681" s="22">
        <v>5</v>
      </c>
      <c r="L681" s="22" t="s">
        <v>82</v>
      </c>
      <c r="M681" s="22" t="s">
        <v>89</v>
      </c>
      <c r="N681" s="24">
        <v>1081.98</v>
      </c>
      <c r="O681" s="22">
        <f>YEAR(B681)</f>
        <v>2023</v>
      </c>
      <c r="P681" s="25">
        <f>DATE(YEAR(B681),MONTH(B681),1)</f>
        <v>44958</v>
      </c>
      <c r="Q681" s="22" t="str">
        <f>IF(N681&gt;Summary!$C$17,"Outlier","")</f>
        <v/>
      </c>
      <c r="R681" s="22" t="str">
        <f>IF(L681="","None",L681)</f>
        <v>FREESHIP</v>
      </c>
    </row>
    <row r="682" spans="1:18" x14ac:dyDescent="0.2">
      <c r="A682" s="22" t="s">
        <v>2609</v>
      </c>
      <c r="B682" s="23">
        <v>45165</v>
      </c>
      <c r="C682" s="22" t="s">
        <v>2610</v>
      </c>
      <c r="D682" s="22" t="s">
        <v>65</v>
      </c>
      <c r="E682" s="22">
        <v>3</v>
      </c>
      <c r="F682" s="24">
        <v>463.39</v>
      </c>
      <c r="G682" s="22" t="s">
        <v>2611</v>
      </c>
      <c r="H682" s="22" t="s">
        <v>76</v>
      </c>
      <c r="I682" s="22" t="s">
        <v>72</v>
      </c>
      <c r="J682" s="22" t="s">
        <v>2612</v>
      </c>
      <c r="K682" s="22">
        <v>3</v>
      </c>
      <c r="L682" s="22"/>
      <c r="M682" s="22" t="s">
        <v>87</v>
      </c>
      <c r="N682" s="24">
        <v>1390.17</v>
      </c>
      <c r="O682" s="22">
        <f>YEAR(B682)</f>
        <v>2023</v>
      </c>
      <c r="P682" s="25">
        <f>DATE(YEAR(B682),MONTH(B682),1)</f>
        <v>45139</v>
      </c>
      <c r="Q682" s="22" t="str">
        <f>IF(N682&gt;Summary!$C$17,"Outlier","")</f>
        <v/>
      </c>
      <c r="R682" s="22" t="str">
        <f>IF(L682="","None",L682)</f>
        <v>None</v>
      </c>
    </row>
    <row r="683" spans="1:18" x14ac:dyDescent="0.2">
      <c r="A683" s="22" t="s">
        <v>2613</v>
      </c>
      <c r="B683" s="23">
        <v>45321</v>
      </c>
      <c r="C683" s="22" t="s">
        <v>2614</v>
      </c>
      <c r="D683" s="22" t="s">
        <v>64</v>
      </c>
      <c r="E683" s="22">
        <v>1</v>
      </c>
      <c r="F683" s="24">
        <v>155.27000000000001</v>
      </c>
      <c r="G683" s="22" t="s">
        <v>2615</v>
      </c>
      <c r="H683" s="22" t="s">
        <v>77</v>
      </c>
      <c r="I683" s="22" t="s">
        <v>70</v>
      </c>
      <c r="J683" s="22" t="s">
        <v>2616</v>
      </c>
      <c r="K683" s="22">
        <v>6</v>
      </c>
      <c r="L683" s="22"/>
      <c r="M683" s="22" t="s">
        <v>86</v>
      </c>
      <c r="N683" s="24">
        <v>155.27000000000001</v>
      </c>
      <c r="O683" s="22">
        <f>YEAR(B683)</f>
        <v>2024</v>
      </c>
      <c r="P683" s="25">
        <f>DATE(YEAR(B683),MONTH(B683),1)</f>
        <v>45292</v>
      </c>
      <c r="Q683" s="22" t="str">
        <f>IF(N683&gt;Summary!$C$17,"Outlier","")</f>
        <v/>
      </c>
      <c r="R683" s="22" t="str">
        <f>IF(L683="","None",L683)</f>
        <v>None</v>
      </c>
    </row>
    <row r="684" spans="1:18" x14ac:dyDescent="0.2">
      <c r="A684" s="22" t="s">
        <v>2617</v>
      </c>
      <c r="B684" s="23">
        <v>45130</v>
      </c>
      <c r="C684" s="22" t="s">
        <v>2618</v>
      </c>
      <c r="D684" s="22" t="s">
        <v>65</v>
      </c>
      <c r="E684" s="22">
        <v>3</v>
      </c>
      <c r="F684" s="24">
        <v>509.42</v>
      </c>
      <c r="G684" s="22" t="s">
        <v>1901</v>
      </c>
      <c r="H684" s="22" t="s">
        <v>76</v>
      </c>
      <c r="I684" s="22" t="s">
        <v>73</v>
      </c>
      <c r="J684" s="22" t="s">
        <v>2619</v>
      </c>
      <c r="K684" s="22">
        <v>5</v>
      </c>
      <c r="L684" s="22" t="s">
        <v>82</v>
      </c>
      <c r="M684" s="22" t="s">
        <v>88</v>
      </c>
      <c r="N684" s="24">
        <v>1528.26</v>
      </c>
      <c r="O684" s="22">
        <f>YEAR(B684)</f>
        <v>2023</v>
      </c>
      <c r="P684" s="25">
        <f>DATE(YEAR(B684),MONTH(B684),1)</f>
        <v>45108</v>
      </c>
      <c r="Q684" s="22" t="str">
        <f>IF(N684&gt;Summary!$C$17,"Outlier","")</f>
        <v/>
      </c>
      <c r="R684" s="22" t="str">
        <f>IF(L684="","None",L684)</f>
        <v>FREESHIP</v>
      </c>
    </row>
    <row r="685" spans="1:18" x14ac:dyDescent="0.2">
      <c r="A685" s="22" t="s">
        <v>2620</v>
      </c>
      <c r="B685" s="23">
        <v>45795</v>
      </c>
      <c r="C685" s="22" t="s">
        <v>2621</v>
      </c>
      <c r="D685" s="22" t="s">
        <v>66</v>
      </c>
      <c r="E685" s="22">
        <v>4</v>
      </c>
      <c r="F685" s="24">
        <v>652.48</v>
      </c>
      <c r="G685" s="22" t="s">
        <v>2622</v>
      </c>
      <c r="H685" s="22" t="s">
        <v>75</v>
      </c>
      <c r="I685" s="22" t="s">
        <v>71</v>
      </c>
      <c r="J685" s="22" t="s">
        <v>2623</v>
      </c>
      <c r="K685" s="22">
        <v>5</v>
      </c>
      <c r="L685" s="22" t="s">
        <v>82</v>
      </c>
      <c r="M685" s="22" t="s">
        <v>89</v>
      </c>
      <c r="N685" s="24">
        <v>2609.92</v>
      </c>
      <c r="O685" s="22">
        <f>YEAR(B685)</f>
        <v>2025</v>
      </c>
      <c r="P685" s="25">
        <f>DATE(YEAR(B685),MONTH(B685),1)</f>
        <v>45778</v>
      </c>
      <c r="Q685" s="22" t="str">
        <f>IF(N685&gt;Summary!$C$17,"Outlier","")</f>
        <v/>
      </c>
      <c r="R685" s="22" t="str">
        <f>IF(L685="","None",L685)</f>
        <v>FREESHIP</v>
      </c>
    </row>
    <row r="686" spans="1:18" x14ac:dyDescent="0.2">
      <c r="A686" s="22" t="s">
        <v>2624</v>
      </c>
      <c r="B686" s="23">
        <v>45557</v>
      </c>
      <c r="C686" s="22" t="s">
        <v>2625</v>
      </c>
      <c r="D686" s="22" t="s">
        <v>62</v>
      </c>
      <c r="E686" s="22">
        <v>4</v>
      </c>
      <c r="F686" s="24">
        <v>34.840000000000003</v>
      </c>
      <c r="G686" s="22" t="s">
        <v>2626</v>
      </c>
      <c r="H686" s="22" t="s">
        <v>76</v>
      </c>
      <c r="I686" s="22" t="s">
        <v>70</v>
      </c>
      <c r="J686" s="22" t="s">
        <v>2627</v>
      </c>
      <c r="K686" s="22">
        <v>8</v>
      </c>
      <c r="L686" s="22"/>
      <c r="M686" s="22" t="s">
        <v>86</v>
      </c>
      <c r="N686" s="24">
        <v>139.36000000000001</v>
      </c>
      <c r="O686" s="22">
        <f>YEAR(B686)</f>
        <v>2024</v>
      </c>
      <c r="P686" s="25">
        <f>DATE(YEAR(B686),MONTH(B686),1)</f>
        <v>45536</v>
      </c>
      <c r="Q686" s="22" t="str">
        <f>IF(N686&gt;Summary!$C$17,"Outlier","")</f>
        <v/>
      </c>
      <c r="R686" s="22" t="str">
        <f>IF(L686="","None",L686)</f>
        <v>None</v>
      </c>
    </row>
    <row r="687" spans="1:18" x14ac:dyDescent="0.2">
      <c r="A687" s="22" t="s">
        <v>2628</v>
      </c>
      <c r="B687" s="23">
        <v>45695</v>
      </c>
      <c r="C687" s="22" t="s">
        <v>2629</v>
      </c>
      <c r="D687" s="22" t="s">
        <v>66</v>
      </c>
      <c r="E687" s="22">
        <v>1</v>
      </c>
      <c r="F687" s="24">
        <v>234.37</v>
      </c>
      <c r="G687" s="22" t="s">
        <v>2630</v>
      </c>
      <c r="H687" s="22" t="s">
        <v>77</v>
      </c>
      <c r="I687" s="22" t="s">
        <v>70</v>
      </c>
      <c r="J687" s="22" t="s">
        <v>2631</v>
      </c>
      <c r="K687" s="22">
        <v>5</v>
      </c>
      <c r="L687" s="22" t="s">
        <v>82</v>
      </c>
      <c r="M687" s="22" t="s">
        <v>86</v>
      </c>
      <c r="N687" s="24">
        <v>234.37</v>
      </c>
      <c r="O687" s="22">
        <f>YEAR(B687)</f>
        <v>2025</v>
      </c>
      <c r="P687" s="25">
        <f>DATE(YEAR(B687),MONTH(B687),1)</f>
        <v>45689</v>
      </c>
      <c r="Q687" s="22" t="str">
        <f>IF(N687&gt;Summary!$C$17,"Outlier","")</f>
        <v/>
      </c>
      <c r="R687" s="22" t="str">
        <f>IF(L687="","None",L687)</f>
        <v>FREESHIP</v>
      </c>
    </row>
    <row r="688" spans="1:18" x14ac:dyDescent="0.2">
      <c r="A688" s="22" t="s">
        <v>2632</v>
      </c>
      <c r="B688" s="23">
        <v>45208</v>
      </c>
      <c r="C688" s="22" t="s">
        <v>2633</v>
      </c>
      <c r="D688" s="22" t="s">
        <v>66</v>
      </c>
      <c r="E688" s="22">
        <v>3</v>
      </c>
      <c r="F688" s="24">
        <v>53.6</v>
      </c>
      <c r="G688" s="22" t="s">
        <v>2634</v>
      </c>
      <c r="H688" s="22" t="s">
        <v>75</v>
      </c>
      <c r="I688" s="22" t="s">
        <v>71</v>
      </c>
      <c r="J688" s="22" t="s">
        <v>2635</v>
      </c>
      <c r="K688" s="22">
        <v>4</v>
      </c>
      <c r="L688" s="22" t="s">
        <v>84</v>
      </c>
      <c r="M688" s="22" t="s">
        <v>87</v>
      </c>
      <c r="N688" s="24">
        <v>160.80000000000001</v>
      </c>
      <c r="O688" s="22">
        <f>YEAR(B688)</f>
        <v>2023</v>
      </c>
      <c r="P688" s="25">
        <f>DATE(YEAR(B688),MONTH(B688),1)</f>
        <v>45200</v>
      </c>
      <c r="Q688" s="22" t="str">
        <f>IF(N688&gt;Summary!$C$17,"Outlier","")</f>
        <v/>
      </c>
      <c r="R688" s="22" t="str">
        <f>IF(L688="","None",L688)</f>
        <v>WINTER15</v>
      </c>
    </row>
    <row r="689" spans="1:18" x14ac:dyDescent="0.2">
      <c r="A689" s="22" t="s">
        <v>2636</v>
      </c>
      <c r="B689" s="23">
        <v>45182</v>
      </c>
      <c r="C689" s="22" t="s">
        <v>2637</v>
      </c>
      <c r="D689" s="22" t="s">
        <v>64</v>
      </c>
      <c r="E689" s="22">
        <v>1</v>
      </c>
      <c r="F689" s="24">
        <v>332.09</v>
      </c>
      <c r="G689" s="22" t="s">
        <v>2638</v>
      </c>
      <c r="H689" s="22" t="s">
        <v>78</v>
      </c>
      <c r="I689" s="22" t="s">
        <v>72</v>
      </c>
      <c r="J689" s="22" t="s">
        <v>2639</v>
      </c>
      <c r="K689" s="22">
        <v>5</v>
      </c>
      <c r="L689" s="22" t="s">
        <v>82</v>
      </c>
      <c r="M689" s="22" t="s">
        <v>89</v>
      </c>
      <c r="N689" s="24">
        <v>332.09</v>
      </c>
      <c r="O689" s="22">
        <f>YEAR(B689)</f>
        <v>2023</v>
      </c>
      <c r="P689" s="25">
        <f>DATE(YEAR(B689),MONTH(B689),1)</f>
        <v>45170</v>
      </c>
      <c r="Q689" s="22" t="str">
        <f>IF(N689&gt;Summary!$C$17,"Outlier","")</f>
        <v/>
      </c>
      <c r="R689" s="22" t="str">
        <f>IF(L689="","None",L689)</f>
        <v>FREESHIP</v>
      </c>
    </row>
    <row r="690" spans="1:18" x14ac:dyDescent="0.2">
      <c r="A690" s="22" t="s">
        <v>2640</v>
      </c>
      <c r="B690" s="23">
        <v>45357</v>
      </c>
      <c r="C690" s="22" t="s">
        <v>2641</v>
      </c>
      <c r="D690" s="22" t="s">
        <v>65</v>
      </c>
      <c r="E690" s="22">
        <v>4</v>
      </c>
      <c r="F690" s="24">
        <v>593.22</v>
      </c>
      <c r="G690" s="22" t="s">
        <v>2385</v>
      </c>
      <c r="H690" s="22" t="s">
        <v>76</v>
      </c>
      <c r="I690" s="22" t="s">
        <v>73</v>
      </c>
      <c r="J690" s="22" t="s">
        <v>2642</v>
      </c>
      <c r="K690" s="22">
        <v>8</v>
      </c>
      <c r="L690" s="22" t="s">
        <v>84</v>
      </c>
      <c r="M690" s="22" t="s">
        <v>87</v>
      </c>
      <c r="N690" s="24">
        <v>2372.88</v>
      </c>
      <c r="O690" s="22">
        <f>YEAR(B690)</f>
        <v>2024</v>
      </c>
      <c r="P690" s="25">
        <f>DATE(YEAR(B690),MONTH(B690),1)</f>
        <v>45352</v>
      </c>
      <c r="Q690" s="22" t="str">
        <f>IF(N690&gt;Summary!$C$17,"Outlier","")</f>
        <v/>
      </c>
      <c r="R690" s="22" t="str">
        <f>IF(L690="","None",L690)</f>
        <v>WINTER15</v>
      </c>
    </row>
    <row r="691" spans="1:18" x14ac:dyDescent="0.2">
      <c r="A691" s="22" t="s">
        <v>2643</v>
      </c>
      <c r="B691" s="23">
        <v>45167</v>
      </c>
      <c r="C691" s="22" t="s">
        <v>2644</v>
      </c>
      <c r="D691" s="22" t="s">
        <v>64</v>
      </c>
      <c r="E691" s="22">
        <v>2</v>
      </c>
      <c r="F691" s="24">
        <v>444.84</v>
      </c>
      <c r="G691" s="22" t="s">
        <v>2645</v>
      </c>
      <c r="H691" s="22" t="s">
        <v>79</v>
      </c>
      <c r="I691" s="22" t="s">
        <v>70</v>
      </c>
      <c r="J691" s="22" t="s">
        <v>2646</v>
      </c>
      <c r="K691" s="22">
        <v>7</v>
      </c>
      <c r="L691" s="22"/>
      <c r="M691" s="22" t="s">
        <v>87</v>
      </c>
      <c r="N691" s="24">
        <v>889.68</v>
      </c>
      <c r="O691" s="22">
        <f>YEAR(B691)</f>
        <v>2023</v>
      </c>
      <c r="P691" s="25">
        <f>DATE(YEAR(B691),MONTH(B691),1)</f>
        <v>45139</v>
      </c>
      <c r="Q691" s="22" t="str">
        <f>IF(N691&gt;Summary!$C$17,"Outlier","")</f>
        <v/>
      </c>
      <c r="R691" s="22" t="str">
        <f>IF(L691="","None",L691)</f>
        <v>None</v>
      </c>
    </row>
    <row r="692" spans="1:18" x14ac:dyDescent="0.2">
      <c r="A692" s="22" t="s">
        <v>2647</v>
      </c>
      <c r="B692" s="23">
        <v>45485</v>
      </c>
      <c r="C692" s="22" t="s">
        <v>2648</v>
      </c>
      <c r="D692" s="22" t="s">
        <v>65</v>
      </c>
      <c r="E692" s="22">
        <v>1</v>
      </c>
      <c r="F692" s="24">
        <v>24.48</v>
      </c>
      <c r="G692" s="22" t="s">
        <v>259</v>
      </c>
      <c r="H692" s="22" t="s">
        <v>78</v>
      </c>
      <c r="I692" s="22" t="s">
        <v>72</v>
      </c>
      <c r="J692" s="22" t="s">
        <v>2649</v>
      </c>
      <c r="K692" s="22">
        <v>1</v>
      </c>
      <c r="L692" s="22"/>
      <c r="M692" s="22" t="s">
        <v>89</v>
      </c>
      <c r="N692" s="24">
        <v>24.48</v>
      </c>
      <c r="O692" s="22">
        <f>YEAR(B692)</f>
        <v>2024</v>
      </c>
      <c r="P692" s="25">
        <f>DATE(YEAR(B692),MONTH(B692),1)</f>
        <v>45474</v>
      </c>
      <c r="Q692" s="22" t="str">
        <f>IF(N692&gt;Summary!$C$17,"Outlier","")</f>
        <v/>
      </c>
      <c r="R692" s="22" t="str">
        <f>IF(L692="","None",L692)</f>
        <v>None</v>
      </c>
    </row>
    <row r="693" spans="1:18" x14ac:dyDescent="0.2">
      <c r="A693" s="22" t="s">
        <v>2650</v>
      </c>
      <c r="B693" s="23">
        <v>45620</v>
      </c>
      <c r="C693" s="22" t="s">
        <v>2651</v>
      </c>
      <c r="D693" s="22" t="s">
        <v>63</v>
      </c>
      <c r="E693" s="22">
        <v>3</v>
      </c>
      <c r="F693" s="24">
        <v>239.08</v>
      </c>
      <c r="G693" s="22" t="s">
        <v>2652</v>
      </c>
      <c r="H693" s="22" t="s">
        <v>75</v>
      </c>
      <c r="I693" s="22" t="s">
        <v>70</v>
      </c>
      <c r="J693" s="22" t="s">
        <v>2653</v>
      </c>
      <c r="K693" s="22">
        <v>8</v>
      </c>
      <c r="L693" s="22"/>
      <c r="M693" s="22" t="s">
        <v>88</v>
      </c>
      <c r="N693" s="24">
        <v>717.24</v>
      </c>
      <c r="O693" s="22">
        <f>YEAR(B693)</f>
        <v>2024</v>
      </c>
      <c r="P693" s="25">
        <f>DATE(YEAR(B693),MONTH(B693),1)</f>
        <v>45597</v>
      </c>
      <c r="Q693" s="22" t="str">
        <f>IF(N693&gt;Summary!$C$17,"Outlier","")</f>
        <v/>
      </c>
      <c r="R693" s="22" t="str">
        <f>IF(L693="","None",L693)</f>
        <v>None</v>
      </c>
    </row>
    <row r="694" spans="1:18" x14ac:dyDescent="0.2">
      <c r="A694" s="22" t="s">
        <v>2654</v>
      </c>
      <c r="B694" s="23">
        <v>44949</v>
      </c>
      <c r="C694" s="22" t="s">
        <v>2655</v>
      </c>
      <c r="D694" s="22" t="s">
        <v>66</v>
      </c>
      <c r="E694" s="22">
        <v>5</v>
      </c>
      <c r="F694" s="24">
        <v>196.84</v>
      </c>
      <c r="G694" s="22" t="s">
        <v>1635</v>
      </c>
      <c r="H694" s="22" t="s">
        <v>76</v>
      </c>
      <c r="I694" s="22" t="s">
        <v>69</v>
      </c>
      <c r="J694" s="22" t="s">
        <v>2656</v>
      </c>
      <c r="K694" s="22">
        <v>5</v>
      </c>
      <c r="L694" s="22" t="s">
        <v>84</v>
      </c>
      <c r="M694" s="22" t="s">
        <v>89</v>
      </c>
      <c r="N694" s="24">
        <v>984.2</v>
      </c>
      <c r="O694" s="22">
        <f>YEAR(B694)</f>
        <v>2023</v>
      </c>
      <c r="P694" s="25">
        <f>DATE(YEAR(B694),MONTH(B694),1)</f>
        <v>44927</v>
      </c>
      <c r="Q694" s="22" t="str">
        <f>IF(N694&gt;Summary!$C$17,"Outlier","")</f>
        <v/>
      </c>
      <c r="R694" s="22" t="str">
        <f>IF(L694="","None",L694)</f>
        <v>WINTER15</v>
      </c>
    </row>
    <row r="695" spans="1:18" x14ac:dyDescent="0.2">
      <c r="A695" s="22" t="s">
        <v>2657</v>
      </c>
      <c r="B695" s="23">
        <v>45728</v>
      </c>
      <c r="C695" s="22" t="s">
        <v>2658</v>
      </c>
      <c r="D695" s="22" t="s">
        <v>65</v>
      </c>
      <c r="E695" s="22">
        <v>1</v>
      </c>
      <c r="F695" s="24">
        <v>176.58</v>
      </c>
      <c r="G695" s="22" t="s">
        <v>2659</v>
      </c>
      <c r="H695" s="22" t="s">
        <v>77</v>
      </c>
      <c r="I695" s="22" t="s">
        <v>72</v>
      </c>
      <c r="J695" s="22" t="s">
        <v>2660</v>
      </c>
      <c r="K695" s="22">
        <v>4</v>
      </c>
      <c r="L695" s="22"/>
      <c r="M695" s="22" t="s">
        <v>90</v>
      </c>
      <c r="N695" s="24">
        <v>176.58</v>
      </c>
      <c r="O695" s="22">
        <f>YEAR(B695)</f>
        <v>2025</v>
      </c>
      <c r="P695" s="25">
        <f>DATE(YEAR(B695),MONTH(B695),1)</f>
        <v>45717</v>
      </c>
      <c r="Q695" s="22" t="str">
        <f>IF(N695&gt;Summary!$C$17,"Outlier","")</f>
        <v/>
      </c>
      <c r="R695" s="22" t="str">
        <f>IF(L695="","None",L695)</f>
        <v>None</v>
      </c>
    </row>
    <row r="696" spans="1:18" x14ac:dyDescent="0.2">
      <c r="A696" s="22" t="s">
        <v>2661</v>
      </c>
      <c r="B696" s="23">
        <v>45201</v>
      </c>
      <c r="C696" s="22" t="s">
        <v>2662</v>
      </c>
      <c r="D696" s="22" t="s">
        <v>62</v>
      </c>
      <c r="E696" s="22">
        <v>4</v>
      </c>
      <c r="F696" s="24">
        <v>666.52</v>
      </c>
      <c r="G696" s="22" t="s">
        <v>1427</v>
      </c>
      <c r="H696" s="22" t="s">
        <v>75</v>
      </c>
      <c r="I696" s="22" t="s">
        <v>70</v>
      </c>
      <c r="J696" s="22" t="s">
        <v>2663</v>
      </c>
      <c r="K696" s="22">
        <v>8</v>
      </c>
      <c r="L696" s="22" t="s">
        <v>82</v>
      </c>
      <c r="M696" s="22" t="s">
        <v>86</v>
      </c>
      <c r="N696" s="24">
        <v>2666.08</v>
      </c>
      <c r="O696" s="22">
        <f>YEAR(B696)</f>
        <v>2023</v>
      </c>
      <c r="P696" s="25">
        <f>DATE(YEAR(B696),MONTH(B696),1)</f>
        <v>45200</v>
      </c>
      <c r="Q696" s="22" t="str">
        <f>IF(N696&gt;Summary!$C$17,"Outlier","")</f>
        <v/>
      </c>
      <c r="R696" s="22" t="str">
        <f>IF(L696="","None",L696)</f>
        <v>FREESHIP</v>
      </c>
    </row>
    <row r="697" spans="1:18" x14ac:dyDescent="0.2">
      <c r="A697" s="22" t="s">
        <v>2664</v>
      </c>
      <c r="B697" s="23">
        <v>45619</v>
      </c>
      <c r="C697" s="22" t="s">
        <v>2665</v>
      </c>
      <c r="D697" s="22" t="s">
        <v>62</v>
      </c>
      <c r="E697" s="22">
        <v>5</v>
      </c>
      <c r="F697" s="24">
        <v>101.3</v>
      </c>
      <c r="G697" s="22" t="s">
        <v>804</v>
      </c>
      <c r="H697" s="22" t="s">
        <v>79</v>
      </c>
      <c r="I697" s="22" t="s">
        <v>70</v>
      </c>
      <c r="J697" s="22" t="s">
        <v>2666</v>
      </c>
      <c r="K697" s="22">
        <v>7</v>
      </c>
      <c r="L697" s="22" t="s">
        <v>82</v>
      </c>
      <c r="M697" s="22" t="s">
        <v>86</v>
      </c>
      <c r="N697" s="24">
        <v>506.5</v>
      </c>
      <c r="O697" s="22">
        <f>YEAR(B697)</f>
        <v>2024</v>
      </c>
      <c r="P697" s="25">
        <f>DATE(YEAR(B697),MONTH(B697),1)</f>
        <v>45597</v>
      </c>
      <c r="Q697" s="22" t="str">
        <f>IF(N697&gt;Summary!$C$17,"Outlier","")</f>
        <v/>
      </c>
      <c r="R697" s="22" t="str">
        <f>IF(L697="","None",L697)</f>
        <v>FREESHIP</v>
      </c>
    </row>
    <row r="698" spans="1:18" x14ac:dyDescent="0.2">
      <c r="A698" s="22" t="s">
        <v>2667</v>
      </c>
      <c r="B698" s="23">
        <v>45109</v>
      </c>
      <c r="C698" s="22" t="s">
        <v>2668</v>
      </c>
      <c r="D698" s="22" t="s">
        <v>61</v>
      </c>
      <c r="E698" s="22">
        <v>4</v>
      </c>
      <c r="F698" s="24">
        <v>151.19999999999999</v>
      </c>
      <c r="G698" s="22" t="s">
        <v>2669</v>
      </c>
      <c r="H698" s="22" t="s">
        <v>78</v>
      </c>
      <c r="I698" s="22" t="s">
        <v>71</v>
      </c>
      <c r="J698" s="22" t="s">
        <v>2670</v>
      </c>
      <c r="K698" s="22">
        <v>9</v>
      </c>
      <c r="L698" s="22" t="s">
        <v>84</v>
      </c>
      <c r="M698" s="22" t="s">
        <v>87</v>
      </c>
      <c r="N698" s="24">
        <v>604.79999999999995</v>
      </c>
      <c r="O698" s="22">
        <f>YEAR(B698)</f>
        <v>2023</v>
      </c>
      <c r="P698" s="25">
        <f>DATE(YEAR(B698),MONTH(B698),1)</f>
        <v>45108</v>
      </c>
      <c r="Q698" s="22" t="str">
        <f>IF(N698&gt;Summary!$C$17,"Outlier","")</f>
        <v/>
      </c>
      <c r="R698" s="22" t="str">
        <f>IF(L698="","None",L698)</f>
        <v>WINTER15</v>
      </c>
    </row>
    <row r="699" spans="1:18" x14ac:dyDescent="0.2">
      <c r="A699" s="22" t="s">
        <v>2671</v>
      </c>
      <c r="B699" s="23">
        <v>45692</v>
      </c>
      <c r="C699" s="22" t="s">
        <v>2672</v>
      </c>
      <c r="D699" s="22" t="s">
        <v>62</v>
      </c>
      <c r="E699" s="22">
        <v>5</v>
      </c>
      <c r="F699" s="24">
        <v>94.85</v>
      </c>
      <c r="G699" s="22" t="s">
        <v>2368</v>
      </c>
      <c r="H699" s="22" t="s">
        <v>75</v>
      </c>
      <c r="I699" s="22" t="s">
        <v>70</v>
      </c>
      <c r="J699" s="22" t="s">
        <v>2673</v>
      </c>
      <c r="K699" s="22">
        <v>6</v>
      </c>
      <c r="L699" s="22" t="s">
        <v>84</v>
      </c>
      <c r="M699" s="22" t="s">
        <v>86</v>
      </c>
      <c r="N699" s="24">
        <v>474.25</v>
      </c>
      <c r="O699" s="22">
        <f>YEAR(B699)</f>
        <v>2025</v>
      </c>
      <c r="P699" s="25">
        <f>DATE(YEAR(B699),MONTH(B699),1)</f>
        <v>45689</v>
      </c>
      <c r="Q699" s="22" t="str">
        <f>IF(N699&gt;Summary!$C$17,"Outlier","")</f>
        <v/>
      </c>
      <c r="R699" s="22" t="str">
        <f>IF(L699="","None",L699)</f>
        <v>WINTER15</v>
      </c>
    </row>
    <row r="700" spans="1:18" x14ac:dyDescent="0.2">
      <c r="A700" s="22" t="s">
        <v>2674</v>
      </c>
      <c r="B700" s="23">
        <v>44930</v>
      </c>
      <c r="C700" s="22" t="s">
        <v>2675</v>
      </c>
      <c r="D700" s="22" t="s">
        <v>63</v>
      </c>
      <c r="E700" s="22">
        <v>2</v>
      </c>
      <c r="F700" s="24">
        <v>388.22</v>
      </c>
      <c r="G700" s="22" t="s">
        <v>1997</v>
      </c>
      <c r="H700" s="22" t="s">
        <v>75</v>
      </c>
      <c r="I700" s="22" t="s">
        <v>69</v>
      </c>
      <c r="J700" s="22" t="s">
        <v>2676</v>
      </c>
      <c r="K700" s="22">
        <v>2</v>
      </c>
      <c r="L700" s="22" t="s">
        <v>84</v>
      </c>
      <c r="M700" s="22" t="s">
        <v>89</v>
      </c>
      <c r="N700" s="24">
        <v>776.44</v>
      </c>
      <c r="O700" s="22">
        <f>YEAR(B700)</f>
        <v>2023</v>
      </c>
      <c r="P700" s="25">
        <f>DATE(YEAR(B700),MONTH(B700),1)</f>
        <v>44927</v>
      </c>
      <c r="Q700" s="22" t="str">
        <f>IF(N700&gt;Summary!$C$17,"Outlier","")</f>
        <v/>
      </c>
      <c r="R700" s="22" t="str">
        <f>IF(L700="","None",L700)</f>
        <v>WINTER15</v>
      </c>
    </row>
    <row r="701" spans="1:18" x14ac:dyDescent="0.2">
      <c r="A701" s="22" t="s">
        <v>2677</v>
      </c>
      <c r="B701" s="23">
        <v>45243</v>
      </c>
      <c r="C701" s="22" t="s">
        <v>2678</v>
      </c>
      <c r="D701" s="22" t="s">
        <v>63</v>
      </c>
      <c r="E701" s="22">
        <v>3</v>
      </c>
      <c r="F701" s="24">
        <v>614.15</v>
      </c>
      <c r="G701" s="22" t="s">
        <v>2679</v>
      </c>
      <c r="H701" s="22" t="s">
        <v>78</v>
      </c>
      <c r="I701" s="22" t="s">
        <v>73</v>
      </c>
      <c r="J701" s="22" t="s">
        <v>2680</v>
      </c>
      <c r="K701" s="22">
        <v>3</v>
      </c>
      <c r="L701" s="22"/>
      <c r="M701" s="22" t="s">
        <v>87</v>
      </c>
      <c r="N701" s="24">
        <v>1842.45</v>
      </c>
      <c r="O701" s="22">
        <f>YEAR(B701)</f>
        <v>2023</v>
      </c>
      <c r="P701" s="25">
        <f>DATE(YEAR(B701),MONTH(B701),1)</f>
        <v>45231</v>
      </c>
      <c r="Q701" s="22" t="str">
        <f>IF(N701&gt;Summary!$C$17,"Outlier","")</f>
        <v/>
      </c>
      <c r="R701" s="22" t="str">
        <f>IF(L701="","None",L701)</f>
        <v>None</v>
      </c>
    </row>
    <row r="702" spans="1:18" x14ac:dyDescent="0.2">
      <c r="A702" s="22" t="s">
        <v>2681</v>
      </c>
      <c r="B702" s="23">
        <v>45560</v>
      </c>
      <c r="C702" s="22" t="s">
        <v>2682</v>
      </c>
      <c r="D702" s="22" t="s">
        <v>63</v>
      </c>
      <c r="E702" s="22">
        <v>2</v>
      </c>
      <c r="F702" s="24">
        <v>92.91</v>
      </c>
      <c r="G702" s="22" t="s">
        <v>2683</v>
      </c>
      <c r="H702" s="22" t="s">
        <v>75</v>
      </c>
      <c r="I702" s="22" t="s">
        <v>72</v>
      </c>
      <c r="J702" s="22" t="s">
        <v>2684</v>
      </c>
      <c r="K702" s="22">
        <v>3</v>
      </c>
      <c r="L702" s="22" t="s">
        <v>84</v>
      </c>
      <c r="M702" s="22" t="s">
        <v>89</v>
      </c>
      <c r="N702" s="24">
        <v>185.82</v>
      </c>
      <c r="O702" s="22">
        <f>YEAR(B702)</f>
        <v>2024</v>
      </c>
      <c r="P702" s="25">
        <f>DATE(YEAR(B702),MONTH(B702),1)</f>
        <v>45536</v>
      </c>
      <c r="Q702" s="22" t="str">
        <f>IF(N702&gt;Summary!$C$17,"Outlier","")</f>
        <v/>
      </c>
      <c r="R702" s="22" t="str">
        <f>IF(L702="","None",L702)</f>
        <v>WINTER15</v>
      </c>
    </row>
    <row r="703" spans="1:18" x14ac:dyDescent="0.2">
      <c r="A703" s="22" t="s">
        <v>2685</v>
      </c>
      <c r="B703" s="23">
        <v>45466</v>
      </c>
      <c r="C703" s="22" t="s">
        <v>2686</v>
      </c>
      <c r="D703" s="22" t="s">
        <v>65</v>
      </c>
      <c r="E703" s="22">
        <v>3</v>
      </c>
      <c r="F703" s="24">
        <v>92.22</v>
      </c>
      <c r="G703" s="22" t="s">
        <v>567</v>
      </c>
      <c r="H703" s="22" t="s">
        <v>76</v>
      </c>
      <c r="I703" s="22" t="s">
        <v>69</v>
      </c>
      <c r="J703" s="22" t="s">
        <v>2687</v>
      </c>
      <c r="K703" s="22">
        <v>5</v>
      </c>
      <c r="L703" s="22" t="s">
        <v>82</v>
      </c>
      <c r="M703" s="22" t="s">
        <v>86</v>
      </c>
      <c r="N703" s="24">
        <v>276.66000000000003</v>
      </c>
      <c r="O703" s="22">
        <f>YEAR(B703)</f>
        <v>2024</v>
      </c>
      <c r="P703" s="25">
        <f>DATE(YEAR(B703),MONTH(B703),1)</f>
        <v>45444</v>
      </c>
      <c r="Q703" s="22" t="str">
        <f>IF(N703&gt;Summary!$C$17,"Outlier","")</f>
        <v/>
      </c>
      <c r="R703" s="22" t="str">
        <f>IF(L703="","None",L703)</f>
        <v>FREESHIP</v>
      </c>
    </row>
    <row r="704" spans="1:18" x14ac:dyDescent="0.2">
      <c r="A704" s="22" t="s">
        <v>2688</v>
      </c>
      <c r="B704" s="23">
        <v>45452</v>
      </c>
      <c r="C704" s="22" t="s">
        <v>2689</v>
      </c>
      <c r="D704" s="22" t="s">
        <v>62</v>
      </c>
      <c r="E704" s="22">
        <v>3</v>
      </c>
      <c r="F704" s="24">
        <v>562.54999999999995</v>
      </c>
      <c r="G704" s="22" t="s">
        <v>2385</v>
      </c>
      <c r="H704" s="22" t="s">
        <v>77</v>
      </c>
      <c r="I704" s="22" t="s">
        <v>72</v>
      </c>
      <c r="J704" s="22" t="s">
        <v>2690</v>
      </c>
      <c r="K704" s="22">
        <v>6</v>
      </c>
      <c r="L704" s="22"/>
      <c r="M704" s="22" t="s">
        <v>86</v>
      </c>
      <c r="N704" s="24">
        <v>1687.65</v>
      </c>
      <c r="O704" s="22">
        <f>YEAR(B704)</f>
        <v>2024</v>
      </c>
      <c r="P704" s="25">
        <f>DATE(YEAR(B704),MONTH(B704),1)</f>
        <v>45444</v>
      </c>
      <c r="Q704" s="22" t="str">
        <f>IF(N704&gt;Summary!$C$17,"Outlier","")</f>
        <v/>
      </c>
      <c r="R704" s="22" t="str">
        <f>IF(L704="","None",L704)</f>
        <v>None</v>
      </c>
    </row>
    <row r="705" spans="1:18" x14ac:dyDescent="0.2">
      <c r="A705" s="22" t="s">
        <v>2691</v>
      </c>
      <c r="B705" s="23">
        <v>45007</v>
      </c>
      <c r="C705" s="22" t="s">
        <v>2692</v>
      </c>
      <c r="D705" s="22" t="s">
        <v>66</v>
      </c>
      <c r="E705" s="22">
        <v>1</v>
      </c>
      <c r="F705" s="24">
        <v>92.79</v>
      </c>
      <c r="G705" s="22" t="s">
        <v>2693</v>
      </c>
      <c r="H705" s="22" t="s">
        <v>75</v>
      </c>
      <c r="I705" s="22" t="s">
        <v>71</v>
      </c>
      <c r="J705" s="22" t="s">
        <v>2694</v>
      </c>
      <c r="K705" s="22">
        <v>3</v>
      </c>
      <c r="L705" s="22" t="s">
        <v>84</v>
      </c>
      <c r="M705" s="22" t="s">
        <v>86</v>
      </c>
      <c r="N705" s="24">
        <v>92.79</v>
      </c>
      <c r="O705" s="22">
        <f>YEAR(B705)</f>
        <v>2023</v>
      </c>
      <c r="P705" s="25">
        <f>DATE(YEAR(B705),MONTH(B705),1)</f>
        <v>44986</v>
      </c>
      <c r="Q705" s="22" t="str">
        <f>IF(N705&gt;Summary!$C$17,"Outlier","")</f>
        <v/>
      </c>
      <c r="R705" s="22" t="str">
        <f>IF(L705="","None",L705)</f>
        <v>WINTER15</v>
      </c>
    </row>
    <row r="706" spans="1:18" x14ac:dyDescent="0.2">
      <c r="A706" s="22" t="s">
        <v>2695</v>
      </c>
      <c r="B706" s="23">
        <v>45080</v>
      </c>
      <c r="C706" s="22" t="s">
        <v>2696</v>
      </c>
      <c r="D706" s="22" t="s">
        <v>66</v>
      </c>
      <c r="E706" s="22">
        <v>4</v>
      </c>
      <c r="F706" s="24">
        <v>30.27</v>
      </c>
      <c r="G706" s="22" t="s">
        <v>740</v>
      </c>
      <c r="H706" s="22" t="s">
        <v>79</v>
      </c>
      <c r="I706" s="22" t="s">
        <v>69</v>
      </c>
      <c r="J706" s="22" t="s">
        <v>2697</v>
      </c>
      <c r="K706" s="22">
        <v>9</v>
      </c>
      <c r="L706" s="22" t="s">
        <v>82</v>
      </c>
      <c r="M706" s="22" t="s">
        <v>88</v>
      </c>
      <c r="N706" s="24">
        <v>121.08</v>
      </c>
      <c r="O706" s="22">
        <f>YEAR(B706)</f>
        <v>2023</v>
      </c>
      <c r="P706" s="25">
        <f>DATE(YEAR(B706),MONTH(B706),1)</f>
        <v>45078</v>
      </c>
      <c r="Q706" s="22" t="str">
        <f>IF(N706&gt;Summary!$C$17,"Outlier","")</f>
        <v/>
      </c>
      <c r="R706" s="22" t="str">
        <f>IF(L706="","None",L706)</f>
        <v>FREESHIP</v>
      </c>
    </row>
    <row r="707" spans="1:18" x14ac:dyDescent="0.2">
      <c r="A707" s="22" t="s">
        <v>2698</v>
      </c>
      <c r="B707" s="23">
        <v>45746</v>
      </c>
      <c r="C707" s="22" t="s">
        <v>2699</v>
      </c>
      <c r="D707" s="22" t="s">
        <v>65</v>
      </c>
      <c r="E707" s="22">
        <v>2</v>
      </c>
      <c r="F707" s="24">
        <v>49.08</v>
      </c>
      <c r="G707" s="22" t="s">
        <v>2700</v>
      </c>
      <c r="H707" s="22" t="s">
        <v>77</v>
      </c>
      <c r="I707" s="22" t="s">
        <v>72</v>
      </c>
      <c r="J707" s="22" t="s">
        <v>2701</v>
      </c>
      <c r="K707" s="22">
        <v>7</v>
      </c>
      <c r="L707" s="22" t="s">
        <v>82</v>
      </c>
      <c r="M707" s="22" t="s">
        <v>89</v>
      </c>
      <c r="N707" s="24">
        <v>98.16</v>
      </c>
      <c r="O707" s="22">
        <f>YEAR(B707)</f>
        <v>2025</v>
      </c>
      <c r="P707" s="25">
        <f>DATE(YEAR(B707),MONTH(B707),1)</f>
        <v>45717</v>
      </c>
      <c r="Q707" s="22" t="str">
        <f>IF(N707&gt;Summary!$C$17,"Outlier","")</f>
        <v/>
      </c>
      <c r="R707" s="22" t="str">
        <f>IF(L707="","None",L707)</f>
        <v>FREESHIP</v>
      </c>
    </row>
    <row r="708" spans="1:18" x14ac:dyDescent="0.2">
      <c r="A708" s="22" t="s">
        <v>2702</v>
      </c>
      <c r="B708" s="23">
        <v>45718</v>
      </c>
      <c r="C708" s="22" t="s">
        <v>2703</v>
      </c>
      <c r="D708" s="22" t="s">
        <v>66</v>
      </c>
      <c r="E708" s="22">
        <v>5</v>
      </c>
      <c r="F708" s="24">
        <v>228.09</v>
      </c>
      <c r="G708" s="22" t="s">
        <v>1545</v>
      </c>
      <c r="H708" s="22" t="s">
        <v>78</v>
      </c>
      <c r="I708" s="22" t="s">
        <v>72</v>
      </c>
      <c r="J708" s="22" t="s">
        <v>2704</v>
      </c>
      <c r="K708" s="22">
        <v>9</v>
      </c>
      <c r="L708" s="22" t="s">
        <v>82</v>
      </c>
      <c r="M708" s="22" t="s">
        <v>87</v>
      </c>
      <c r="N708" s="24">
        <v>1140.45</v>
      </c>
      <c r="O708" s="22">
        <f>YEAR(B708)</f>
        <v>2025</v>
      </c>
      <c r="P708" s="25">
        <f>DATE(YEAR(B708),MONTH(B708),1)</f>
        <v>45717</v>
      </c>
      <c r="Q708" s="22" t="str">
        <f>IF(N708&gt;Summary!$C$17,"Outlier","")</f>
        <v/>
      </c>
      <c r="R708" s="22" t="str">
        <f>IF(L708="","None",L708)</f>
        <v>FREESHIP</v>
      </c>
    </row>
    <row r="709" spans="1:18" x14ac:dyDescent="0.2">
      <c r="A709" s="22" t="s">
        <v>2705</v>
      </c>
      <c r="B709" s="23">
        <v>45597</v>
      </c>
      <c r="C709" s="22" t="s">
        <v>2706</v>
      </c>
      <c r="D709" s="22" t="s">
        <v>61</v>
      </c>
      <c r="E709" s="22">
        <v>4</v>
      </c>
      <c r="F709" s="24">
        <v>650.04</v>
      </c>
      <c r="G709" s="22" t="s">
        <v>445</v>
      </c>
      <c r="H709" s="22" t="s">
        <v>78</v>
      </c>
      <c r="I709" s="22" t="s">
        <v>73</v>
      </c>
      <c r="J709" s="22" t="s">
        <v>2707</v>
      </c>
      <c r="K709" s="22">
        <v>6</v>
      </c>
      <c r="L709" s="22" t="s">
        <v>83</v>
      </c>
      <c r="M709" s="22" t="s">
        <v>87</v>
      </c>
      <c r="N709" s="24">
        <v>2600.16</v>
      </c>
      <c r="O709" s="22">
        <f>YEAR(B709)</f>
        <v>2024</v>
      </c>
      <c r="P709" s="25">
        <f>DATE(YEAR(B709),MONTH(B709),1)</f>
        <v>45597</v>
      </c>
      <c r="Q709" s="22" t="str">
        <f>IF(N709&gt;Summary!$C$17,"Outlier","")</f>
        <v/>
      </c>
      <c r="R709" s="22" t="str">
        <f>IF(L709="","None",L709)</f>
        <v>SAVE10</v>
      </c>
    </row>
    <row r="710" spans="1:18" x14ac:dyDescent="0.2">
      <c r="A710" s="22" t="s">
        <v>2708</v>
      </c>
      <c r="B710" s="23">
        <v>45720</v>
      </c>
      <c r="C710" s="22" t="s">
        <v>2709</v>
      </c>
      <c r="D710" s="22" t="s">
        <v>62</v>
      </c>
      <c r="E710" s="22">
        <v>1</v>
      </c>
      <c r="F710" s="24">
        <v>665.11</v>
      </c>
      <c r="G710" s="22" t="s">
        <v>2368</v>
      </c>
      <c r="H710" s="22" t="s">
        <v>75</v>
      </c>
      <c r="I710" s="22" t="s">
        <v>71</v>
      </c>
      <c r="J710" s="22" t="s">
        <v>2710</v>
      </c>
      <c r="K710" s="22">
        <v>3</v>
      </c>
      <c r="L710" s="22" t="s">
        <v>82</v>
      </c>
      <c r="M710" s="22" t="s">
        <v>89</v>
      </c>
      <c r="N710" s="24">
        <v>665.11</v>
      </c>
      <c r="O710" s="22">
        <f>YEAR(B710)</f>
        <v>2025</v>
      </c>
      <c r="P710" s="25">
        <f>DATE(YEAR(B710),MONTH(B710),1)</f>
        <v>45717</v>
      </c>
      <c r="Q710" s="22" t="str">
        <f>IF(N710&gt;Summary!$C$17,"Outlier","")</f>
        <v/>
      </c>
      <c r="R710" s="22" t="str">
        <f>IF(L710="","None",L710)</f>
        <v>FREESHIP</v>
      </c>
    </row>
    <row r="711" spans="1:18" x14ac:dyDescent="0.2">
      <c r="A711" s="22" t="s">
        <v>2711</v>
      </c>
      <c r="B711" s="23">
        <v>45633</v>
      </c>
      <c r="C711" s="22" t="s">
        <v>2712</v>
      </c>
      <c r="D711" s="22" t="s">
        <v>66</v>
      </c>
      <c r="E711" s="22">
        <v>1</v>
      </c>
      <c r="F711" s="24">
        <v>386.03</v>
      </c>
      <c r="G711" s="22" t="s">
        <v>2713</v>
      </c>
      <c r="H711" s="22" t="s">
        <v>79</v>
      </c>
      <c r="I711" s="22" t="s">
        <v>71</v>
      </c>
      <c r="J711" s="22" t="s">
        <v>2714</v>
      </c>
      <c r="K711" s="22">
        <v>4</v>
      </c>
      <c r="L711" s="22" t="s">
        <v>82</v>
      </c>
      <c r="M711" s="22" t="s">
        <v>88</v>
      </c>
      <c r="N711" s="24">
        <v>386.03</v>
      </c>
      <c r="O711" s="22">
        <f>YEAR(B711)</f>
        <v>2024</v>
      </c>
      <c r="P711" s="25">
        <f>DATE(YEAR(B711),MONTH(B711),1)</f>
        <v>45627</v>
      </c>
      <c r="Q711" s="22" t="str">
        <f>IF(N711&gt;Summary!$C$17,"Outlier","")</f>
        <v/>
      </c>
      <c r="R711" s="22" t="str">
        <f>IF(L711="","None",L711)</f>
        <v>FREESHIP</v>
      </c>
    </row>
    <row r="712" spans="1:18" x14ac:dyDescent="0.2">
      <c r="A712" s="22" t="s">
        <v>2715</v>
      </c>
      <c r="B712" s="23">
        <v>45495</v>
      </c>
      <c r="C712" s="22" t="s">
        <v>2716</v>
      </c>
      <c r="D712" s="22" t="s">
        <v>63</v>
      </c>
      <c r="E712" s="22">
        <v>5</v>
      </c>
      <c r="F712" s="24">
        <v>21.54</v>
      </c>
      <c r="G712" s="22" t="s">
        <v>2717</v>
      </c>
      <c r="H712" s="22" t="s">
        <v>78</v>
      </c>
      <c r="I712" s="22" t="s">
        <v>72</v>
      </c>
      <c r="J712" s="22" t="s">
        <v>2718</v>
      </c>
      <c r="K712" s="22">
        <v>10</v>
      </c>
      <c r="L712" s="22"/>
      <c r="M712" s="22" t="s">
        <v>88</v>
      </c>
      <c r="N712" s="24">
        <v>107.7</v>
      </c>
      <c r="O712" s="22">
        <f>YEAR(B712)</f>
        <v>2024</v>
      </c>
      <c r="P712" s="25">
        <f>DATE(YEAR(B712),MONTH(B712),1)</f>
        <v>45474</v>
      </c>
      <c r="Q712" s="22" t="str">
        <f>IF(N712&gt;Summary!$C$17,"Outlier","")</f>
        <v/>
      </c>
      <c r="R712" s="22" t="str">
        <f>IF(L712="","None",L712)</f>
        <v>None</v>
      </c>
    </row>
    <row r="713" spans="1:18" x14ac:dyDescent="0.2">
      <c r="A713" s="22" t="s">
        <v>2719</v>
      </c>
      <c r="B713" s="23">
        <v>45477</v>
      </c>
      <c r="C713" s="22" t="s">
        <v>2720</v>
      </c>
      <c r="D713" s="22" t="s">
        <v>64</v>
      </c>
      <c r="E713" s="22">
        <v>2</v>
      </c>
      <c r="F713" s="24">
        <v>475.78</v>
      </c>
      <c r="G713" s="22" t="s">
        <v>2721</v>
      </c>
      <c r="H713" s="22" t="s">
        <v>79</v>
      </c>
      <c r="I713" s="22" t="s">
        <v>70</v>
      </c>
      <c r="J713" s="22" t="s">
        <v>2722</v>
      </c>
      <c r="K713" s="22">
        <v>2</v>
      </c>
      <c r="L713" s="22" t="s">
        <v>84</v>
      </c>
      <c r="M713" s="22" t="s">
        <v>88</v>
      </c>
      <c r="N713" s="24">
        <v>951.56</v>
      </c>
      <c r="O713" s="22">
        <f>YEAR(B713)</f>
        <v>2024</v>
      </c>
      <c r="P713" s="25">
        <f>DATE(YEAR(B713),MONTH(B713),1)</f>
        <v>45474</v>
      </c>
      <c r="Q713" s="22" t="str">
        <f>IF(N713&gt;Summary!$C$17,"Outlier","")</f>
        <v/>
      </c>
      <c r="R713" s="22" t="str">
        <f>IF(L713="","None",L713)</f>
        <v>WINTER15</v>
      </c>
    </row>
    <row r="714" spans="1:18" x14ac:dyDescent="0.2">
      <c r="A714" s="22" t="s">
        <v>2723</v>
      </c>
      <c r="B714" s="23">
        <v>45300</v>
      </c>
      <c r="C714" s="22" t="s">
        <v>2193</v>
      </c>
      <c r="D714" s="22" t="s">
        <v>64</v>
      </c>
      <c r="E714" s="22">
        <v>2</v>
      </c>
      <c r="F714" s="24">
        <v>68.400000000000006</v>
      </c>
      <c r="G714" s="22" t="s">
        <v>2724</v>
      </c>
      <c r="H714" s="22" t="s">
        <v>78</v>
      </c>
      <c r="I714" s="22" t="s">
        <v>71</v>
      </c>
      <c r="J714" s="22" t="s">
        <v>2725</v>
      </c>
      <c r="K714" s="22">
        <v>7</v>
      </c>
      <c r="L714" s="22" t="s">
        <v>82</v>
      </c>
      <c r="M714" s="22" t="s">
        <v>86</v>
      </c>
      <c r="N714" s="24">
        <v>136.80000000000001</v>
      </c>
      <c r="O714" s="22">
        <f>YEAR(B714)</f>
        <v>2024</v>
      </c>
      <c r="P714" s="25">
        <f>DATE(YEAR(B714),MONTH(B714),1)</f>
        <v>45292</v>
      </c>
      <c r="Q714" s="22" t="str">
        <f>IF(N714&gt;Summary!$C$17,"Outlier","")</f>
        <v/>
      </c>
      <c r="R714" s="22" t="str">
        <f>IF(L714="","None",L714)</f>
        <v>FREESHIP</v>
      </c>
    </row>
    <row r="715" spans="1:18" x14ac:dyDescent="0.2">
      <c r="A715" s="22" t="s">
        <v>2726</v>
      </c>
      <c r="B715" s="23">
        <v>45829</v>
      </c>
      <c r="C715" s="22" t="s">
        <v>2727</v>
      </c>
      <c r="D715" s="22" t="s">
        <v>64</v>
      </c>
      <c r="E715" s="22">
        <v>4</v>
      </c>
      <c r="F715" s="24">
        <v>532.49</v>
      </c>
      <c r="G715" s="22" t="s">
        <v>2630</v>
      </c>
      <c r="H715" s="22" t="s">
        <v>79</v>
      </c>
      <c r="I715" s="22" t="s">
        <v>73</v>
      </c>
      <c r="J715" s="22" t="s">
        <v>2728</v>
      </c>
      <c r="K715" s="22">
        <v>6</v>
      </c>
      <c r="L715" s="22" t="s">
        <v>83</v>
      </c>
      <c r="M715" s="22" t="s">
        <v>87</v>
      </c>
      <c r="N715" s="24">
        <v>2129.96</v>
      </c>
      <c r="O715" s="22">
        <f>YEAR(B715)</f>
        <v>2025</v>
      </c>
      <c r="P715" s="25">
        <f>DATE(YEAR(B715),MONTH(B715),1)</f>
        <v>45809</v>
      </c>
      <c r="Q715" s="22" t="str">
        <f>IF(N715&gt;Summary!$C$17,"Outlier","")</f>
        <v/>
      </c>
      <c r="R715" s="22" t="str">
        <f>IF(L715="","None",L715)</f>
        <v>SAVE10</v>
      </c>
    </row>
    <row r="716" spans="1:18" x14ac:dyDescent="0.2">
      <c r="A716" s="22" t="s">
        <v>2729</v>
      </c>
      <c r="B716" s="23">
        <v>45037</v>
      </c>
      <c r="C716" s="22" t="s">
        <v>2730</v>
      </c>
      <c r="D716" s="22" t="s">
        <v>63</v>
      </c>
      <c r="E716" s="22">
        <v>1</v>
      </c>
      <c r="F716" s="24">
        <v>51.73</v>
      </c>
      <c r="G716" s="22" t="s">
        <v>1253</v>
      </c>
      <c r="H716" s="22" t="s">
        <v>77</v>
      </c>
      <c r="I716" s="22" t="s">
        <v>71</v>
      </c>
      <c r="J716" s="22" t="s">
        <v>2731</v>
      </c>
      <c r="K716" s="22">
        <v>1</v>
      </c>
      <c r="L716" s="22" t="s">
        <v>82</v>
      </c>
      <c r="M716" s="22" t="s">
        <v>87</v>
      </c>
      <c r="N716" s="24">
        <v>51.73</v>
      </c>
      <c r="O716" s="22">
        <f>YEAR(B716)</f>
        <v>2023</v>
      </c>
      <c r="P716" s="25">
        <f>DATE(YEAR(B716),MONTH(B716),1)</f>
        <v>45017</v>
      </c>
      <c r="Q716" s="22" t="str">
        <f>IF(N716&gt;Summary!$C$17,"Outlier","")</f>
        <v/>
      </c>
      <c r="R716" s="22" t="str">
        <f>IF(L716="","None",L716)</f>
        <v>FREESHIP</v>
      </c>
    </row>
    <row r="717" spans="1:18" x14ac:dyDescent="0.2">
      <c r="A717" s="22" t="s">
        <v>2732</v>
      </c>
      <c r="B717" s="23">
        <v>45499</v>
      </c>
      <c r="C717" s="22" t="s">
        <v>2733</v>
      </c>
      <c r="D717" s="22" t="s">
        <v>62</v>
      </c>
      <c r="E717" s="22">
        <v>3</v>
      </c>
      <c r="F717" s="24">
        <v>653.63</v>
      </c>
      <c r="G717" s="22" t="s">
        <v>2734</v>
      </c>
      <c r="H717" s="22" t="s">
        <v>79</v>
      </c>
      <c r="I717" s="22" t="s">
        <v>69</v>
      </c>
      <c r="J717" s="22" t="s">
        <v>2735</v>
      </c>
      <c r="K717" s="22">
        <v>7</v>
      </c>
      <c r="L717" s="22" t="s">
        <v>82</v>
      </c>
      <c r="M717" s="22" t="s">
        <v>86</v>
      </c>
      <c r="N717" s="24">
        <v>1960.89</v>
      </c>
      <c r="O717" s="22">
        <f>YEAR(B717)</f>
        <v>2024</v>
      </c>
      <c r="P717" s="25">
        <f>DATE(YEAR(B717),MONTH(B717),1)</f>
        <v>45474</v>
      </c>
      <c r="Q717" s="22" t="str">
        <f>IF(N717&gt;Summary!$C$17,"Outlier","")</f>
        <v/>
      </c>
      <c r="R717" s="22" t="str">
        <f>IF(L717="","None",L717)</f>
        <v>FREESHIP</v>
      </c>
    </row>
    <row r="718" spans="1:18" x14ac:dyDescent="0.2">
      <c r="A718" s="22" t="s">
        <v>2736</v>
      </c>
      <c r="B718" s="23">
        <v>45456</v>
      </c>
      <c r="C718" s="22" t="s">
        <v>2737</v>
      </c>
      <c r="D718" s="22" t="s">
        <v>61</v>
      </c>
      <c r="E718" s="22">
        <v>3</v>
      </c>
      <c r="F718" s="24">
        <v>454.29</v>
      </c>
      <c r="G718" s="22" t="s">
        <v>191</v>
      </c>
      <c r="H718" s="22" t="s">
        <v>76</v>
      </c>
      <c r="I718" s="22" t="s">
        <v>71</v>
      </c>
      <c r="J718" s="22" t="s">
        <v>2738</v>
      </c>
      <c r="K718" s="22">
        <v>4</v>
      </c>
      <c r="L718" s="22" t="s">
        <v>84</v>
      </c>
      <c r="M718" s="22" t="s">
        <v>88</v>
      </c>
      <c r="N718" s="24">
        <v>1362.87</v>
      </c>
      <c r="O718" s="22">
        <f>YEAR(B718)</f>
        <v>2024</v>
      </c>
      <c r="P718" s="25">
        <f>DATE(YEAR(B718),MONTH(B718),1)</f>
        <v>45444</v>
      </c>
      <c r="Q718" s="22" t="str">
        <f>IF(N718&gt;Summary!$C$17,"Outlier","")</f>
        <v/>
      </c>
      <c r="R718" s="22" t="str">
        <f>IF(L718="","None",L718)</f>
        <v>WINTER15</v>
      </c>
    </row>
    <row r="719" spans="1:18" x14ac:dyDescent="0.2">
      <c r="A719" s="22" t="s">
        <v>2739</v>
      </c>
      <c r="B719" s="23">
        <v>45215</v>
      </c>
      <c r="C719" s="22" t="s">
        <v>2740</v>
      </c>
      <c r="D719" s="22" t="s">
        <v>61</v>
      </c>
      <c r="E719" s="22">
        <v>3</v>
      </c>
      <c r="F719" s="24">
        <v>122.11</v>
      </c>
      <c r="G719" s="22" t="s">
        <v>2741</v>
      </c>
      <c r="H719" s="22" t="s">
        <v>79</v>
      </c>
      <c r="I719" s="22" t="s">
        <v>69</v>
      </c>
      <c r="J719" s="22" t="s">
        <v>2742</v>
      </c>
      <c r="K719" s="22">
        <v>4</v>
      </c>
      <c r="L719" s="22" t="s">
        <v>84</v>
      </c>
      <c r="M719" s="22" t="s">
        <v>86</v>
      </c>
      <c r="N719" s="24">
        <v>366.33</v>
      </c>
      <c r="O719" s="22">
        <f>YEAR(B719)</f>
        <v>2023</v>
      </c>
      <c r="P719" s="25">
        <f>DATE(YEAR(B719),MONTH(B719),1)</f>
        <v>45200</v>
      </c>
      <c r="Q719" s="22" t="str">
        <f>IF(N719&gt;Summary!$C$17,"Outlier","")</f>
        <v/>
      </c>
      <c r="R719" s="22" t="str">
        <f>IF(L719="","None",L719)</f>
        <v>WINTER15</v>
      </c>
    </row>
    <row r="720" spans="1:18" x14ac:dyDescent="0.2">
      <c r="A720" s="22" t="s">
        <v>2743</v>
      </c>
      <c r="B720" s="23">
        <v>45024</v>
      </c>
      <c r="C720" s="22" t="s">
        <v>2744</v>
      </c>
      <c r="D720" s="22" t="s">
        <v>63</v>
      </c>
      <c r="E720" s="22">
        <v>4</v>
      </c>
      <c r="F720" s="24">
        <v>64.739999999999995</v>
      </c>
      <c r="G720" s="22" t="s">
        <v>2745</v>
      </c>
      <c r="H720" s="22" t="s">
        <v>78</v>
      </c>
      <c r="I720" s="22" t="s">
        <v>73</v>
      </c>
      <c r="J720" s="22" t="s">
        <v>2746</v>
      </c>
      <c r="K720" s="22">
        <v>8</v>
      </c>
      <c r="L720" s="22" t="s">
        <v>83</v>
      </c>
      <c r="M720" s="22" t="s">
        <v>88</v>
      </c>
      <c r="N720" s="24">
        <v>258.95999999999998</v>
      </c>
      <c r="O720" s="22">
        <f>YEAR(B720)</f>
        <v>2023</v>
      </c>
      <c r="P720" s="25">
        <f>DATE(YEAR(B720),MONTH(B720),1)</f>
        <v>45017</v>
      </c>
      <c r="Q720" s="22" t="str">
        <f>IF(N720&gt;Summary!$C$17,"Outlier","")</f>
        <v/>
      </c>
      <c r="R720" s="22" t="str">
        <f>IF(L720="","None",L720)</f>
        <v>SAVE10</v>
      </c>
    </row>
    <row r="721" spans="1:18" x14ac:dyDescent="0.2">
      <c r="A721" s="22" t="s">
        <v>2747</v>
      </c>
      <c r="B721" s="23">
        <v>45312</v>
      </c>
      <c r="C721" s="22" t="s">
        <v>2748</v>
      </c>
      <c r="D721" s="22" t="s">
        <v>63</v>
      </c>
      <c r="E721" s="22">
        <v>2</v>
      </c>
      <c r="F721" s="24">
        <v>681.06</v>
      </c>
      <c r="G721" s="22" t="s">
        <v>2749</v>
      </c>
      <c r="H721" s="22" t="s">
        <v>77</v>
      </c>
      <c r="I721" s="22" t="s">
        <v>70</v>
      </c>
      <c r="J721" s="22" t="s">
        <v>2750</v>
      </c>
      <c r="K721" s="22">
        <v>3</v>
      </c>
      <c r="L721" s="22" t="s">
        <v>82</v>
      </c>
      <c r="M721" s="22" t="s">
        <v>87</v>
      </c>
      <c r="N721" s="24">
        <v>1362.12</v>
      </c>
      <c r="O721" s="22">
        <f>YEAR(B721)</f>
        <v>2024</v>
      </c>
      <c r="P721" s="25">
        <f>DATE(YEAR(B721),MONTH(B721),1)</f>
        <v>45292</v>
      </c>
      <c r="Q721" s="22" t="str">
        <f>IF(N721&gt;Summary!$C$17,"Outlier","")</f>
        <v/>
      </c>
      <c r="R721" s="22" t="str">
        <f>IF(L721="","None",L721)</f>
        <v>FREESHIP</v>
      </c>
    </row>
    <row r="722" spans="1:18" x14ac:dyDescent="0.2">
      <c r="A722" s="22" t="s">
        <v>2751</v>
      </c>
      <c r="B722" s="23">
        <v>45190</v>
      </c>
      <c r="C722" s="22" t="s">
        <v>2752</v>
      </c>
      <c r="D722" s="22" t="s">
        <v>66</v>
      </c>
      <c r="E722" s="22">
        <v>5</v>
      </c>
      <c r="F722" s="24">
        <v>128.94999999999999</v>
      </c>
      <c r="G722" s="22" t="s">
        <v>2753</v>
      </c>
      <c r="H722" s="22" t="s">
        <v>75</v>
      </c>
      <c r="I722" s="22" t="s">
        <v>71</v>
      </c>
      <c r="J722" s="22" t="s">
        <v>2754</v>
      </c>
      <c r="K722" s="22">
        <v>10</v>
      </c>
      <c r="L722" s="22" t="s">
        <v>82</v>
      </c>
      <c r="M722" s="22" t="s">
        <v>89</v>
      </c>
      <c r="N722" s="24">
        <v>644.75</v>
      </c>
      <c r="O722" s="22">
        <f>YEAR(B722)</f>
        <v>2023</v>
      </c>
      <c r="P722" s="25">
        <f>DATE(YEAR(B722),MONTH(B722),1)</f>
        <v>45170</v>
      </c>
      <c r="Q722" s="22" t="str">
        <f>IF(N722&gt;Summary!$C$17,"Outlier","")</f>
        <v/>
      </c>
      <c r="R722" s="22" t="str">
        <f>IF(L722="","None",L722)</f>
        <v>FREESHIP</v>
      </c>
    </row>
    <row r="723" spans="1:18" x14ac:dyDescent="0.2">
      <c r="A723" s="22" t="s">
        <v>2755</v>
      </c>
      <c r="B723" s="23">
        <v>45369</v>
      </c>
      <c r="C723" s="22" t="s">
        <v>2756</v>
      </c>
      <c r="D723" s="22" t="s">
        <v>66</v>
      </c>
      <c r="E723" s="22">
        <v>2</v>
      </c>
      <c r="F723" s="24">
        <v>118.59</v>
      </c>
      <c r="G723" s="22" t="s">
        <v>2757</v>
      </c>
      <c r="H723" s="22" t="s">
        <v>76</v>
      </c>
      <c r="I723" s="22" t="s">
        <v>69</v>
      </c>
      <c r="J723" s="22" t="s">
        <v>2758</v>
      </c>
      <c r="K723" s="22">
        <v>2</v>
      </c>
      <c r="L723" s="22"/>
      <c r="M723" s="22" t="s">
        <v>86</v>
      </c>
      <c r="N723" s="24">
        <v>237.18</v>
      </c>
      <c r="O723" s="22">
        <f>YEAR(B723)</f>
        <v>2024</v>
      </c>
      <c r="P723" s="25">
        <f>DATE(YEAR(B723),MONTH(B723),1)</f>
        <v>45352</v>
      </c>
      <c r="Q723" s="22" t="str">
        <f>IF(N723&gt;Summary!$C$17,"Outlier","")</f>
        <v/>
      </c>
      <c r="R723" s="22" t="str">
        <f>IF(L723="","None",L723)</f>
        <v>None</v>
      </c>
    </row>
    <row r="724" spans="1:18" x14ac:dyDescent="0.2">
      <c r="A724" s="22" t="s">
        <v>2759</v>
      </c>
      <c r="B724" s="23">
        <v>45611</v>
      </c>
      <c r="C724" s="22" t="s">
        <v>2760</v>
      </c>
      <c r="D724" s="22" t="s">
        <v>62</v>
      </c>
      <c r="E724" s="22">
        <v>1</v>
      </c>
      <c r="F724" s="24">
        <v>95.1</v>
      </c>
      <c r="G724" s="22" t="s">
        <v>1214</v>
      </c>
      <c r="H724" s="22" t="s">
        <v>78</v>
      </c>
      <c r="I724" s="22" t="s">
        <v>71</v>
      </c>
      <c r="J724" s="22" t="s">
        <v>2761</v>
      </c>
      <c r="K724" s="22">
        <v>1</v>
      </c>
      <c r="L724" s="22" t="s">
        <v>84</v>
      </c>
      <c r="M724" s="22" t="s">
        <v>89</v>
      </c>
      <c r="N724" s="24">
        <v>95.1</v>
      </c>
      <c r="O724" s="22">
        <f>YEAR(B724)</f>
        <v>2024</v>
      </c>
      <c r="P724" s="25">
        <f>DATE(YEAR(B724),MONTH(B724),1)</f>
        <v>45597</v>
      </c>
      <c r="Q724" s="22" t="str">
        <f>IF(N724&gt;Summary!$C$17,"Outlier","")</f>
        <v/>
      </c>
      <c r="R724" s="22" t="str">
        <f>IF(L724="","None",L724)</f>
        <v>WINTER15</v>
      </c>
    </row>
    <row r="725" spans="1:18" x14ac:dyDescent="0.2">
      <c r="A725" s="22" t="s">
        <v>2762</v>
      </c>
      <c r="B725" s="23">
        <v>45269</v>
      </c>
      <c r="C725" s="22" t="s">
        <v>2763</v>
      </c>
      <c r="D725" s="22" t="s">
        <v>66</v>
      </c>
      <c r="E725" s="22">
        <v>3</v>
      </c>
      <c r="F725" s="24">
        <v>54.95</v>
      </c>
      <c r="G725" s="22" t="s">
        <v>375</v>
      </c>
      <c r="H725" s="22" t="s">
        <v>75</v>
      </c>
      <c r="I725" s="22" t="s">
        <v>72</v>
      </c>
      <c r="J725" s="22" t="s">
        <v>2764</v>
      </c>
      <c r="K725" s="22">
        <v>8</v>
      </c>
      <c r="L725" s="22" t="s">
        <v>83</v>
      </c>
      <c r="M725" s="22" t="s">
        <v>90</v>
      </c>
      <c r="N725" s="24">
        <v>164.85</v>
      </c>
      <c r="O725" s="22">
        <f>YEAR(B725)</f>
        <v>2023</v>
      </c>
      <c r="P725" s="25">
        <f>DATE(YEAR(B725),MONTH(B725),1)</f>
        <v>45261</v>
      </c>
      <c r="Q725" s="22" t="str">
        <f>IF(N725&gt;Summary!$C$17,"Outlier","")</f>
        <v/>
      </c>
      <c r="R725" s="22" t="str">
        <f>IF(L725="","None",L725)</f>
        <v>SAVE10</v>
      </c>
    </row>
    <row r="726" spans="1:18" x14ac:dyDescent="0.2">
      <c r="A726" s="22" t="s">
        <v>2765</v>
      </c>
      <c r="B726" s="23">
        <v>45583</v>
      </c>
      <c r="C726" s="22" t="s">
        <v>2766</v>
      </c>
      <c r="D726" s="22" t="s">
        <v>62</v>
      </c>
      <c r="E726" s="22">
        <v>3</v>
      </c>
      <c r="F726" s="24">
        <v>136.97</v>
      </c>
      <c r="G726" s="22" t="s">
        <v>1287</v>
      </c>
      <c r="H726" s="22" t="s">
        <v>76</v>
      </c>
      <c r="I726" s="22" t="s">
        <v>72</v>
      </c>
      <c r="J726" s="22" t="s">
        <v>2767</v>
      </c>
      <c r="K726" s="22">
        <v>4</v>
      </c>
      <c r="L726" s="22" t="s">
        <v>82</v>
      </c>
      <c r="M726" s="22" t="s">
        <v>90</v>
      </c>
      <c r="N726" s="24">
        <v>410.91</v>
      </c>
      <c r="O726" s="22">
        <f>YEAR(B726)</f>
        <v>2024</v>
      </c>
      <c r="P726" s="25">
        <f>DATE(YEAR(B726),MONTH(B726),1)</f>
        <v>45566</v>
      </c>
      <c r="Q726" s="22" t="str">
        <f>IF(N726&gt;Summary!$C$17,"Outlier","")</f>
        <v/>
      </c>
      <c r="R726" s="22" t="str">
        <f>IF(L726="","None",L726)</f>
        <v>FREESHIP</v>
      </c>
    </row>
    <row r="727" spans="1:18" x14ac:dyDescent="0.2">
      <c r="A727" s="22" t="s">
        <v>2768</v>
      </c>
      <c r="B727" s="23">
        <v>44997</v>
      </c>
      <c r="C727" s="22" t="s">
        <v>2769</v>
      </c>
      <c r="D727" s="22" t="s">
        <v>61</v>
      </c>
      <c r="E727" s="22">
        <v>2</v>
      </c>
      <c r="F727" s="24">
        <v>194.85</v>
      </c>
      <c r="G727" s="22" t="s">
        <v>1971</v>
      </c>
      <c r="H727" s="22" t="s">
        <v>78</v>
      </c>
      <c r="I727" s="22" t="s">
        <v>72</v>
      </c>
      <c r="J727" s="22" t="s">
        <v>2770</v>
      </c>
      <c r="K727" s="22">
        <v>5</v>
      </c>
      <c r="L727" s="22"/>
      <c r="M727" s="22" t="s">
        <v>90</v>
      </c>
      <c r="N727" s="24">
        <v>389.7</v>
      </c>
      <c r="O727" s="22">
        <f>YEAR(B727)</f>
        <v>2023</v>
      </c>
      <c r="P727" s="25">
        <f>DATE(YEAR(B727),MONTH(B727),1)</f>
        <v>44986</v>
      </c>
      <c r="Q727" s="22" t="str">
        <f>IF(N727&gt;Summary!$C$17,"Outlier","")</f>
        <v/>
      </c>
      <c r="R727" s="22" t="str">
        <f>IF(L727="","None",L727)</f>
        <v>None</v>
      </c>
    </row>
    <row r="728" spans="1:18" x14ac:dyDescent="0.2">
      <c r="A728" s="22" t="s">
        <v>2771</v>
      </c>
      <c r="B728" s="23">
        <v>45590</v>
      </c>
      <c r="C728" s="22" t="s">
        <v>2772</v>
      </c>
      <c r="D728" s="22" t="s">
        <v>63</v>
      </c>
      <c r="E728" s="22">
        <v>4</v>
      </c>
      <c r="F728" s="24">
        <v>583.02</v>
      </c>
      <c r="G728" s="22" t="s">
        <v>2773</v>
      </c>
      <c r="H728" s="22" t="s">
        <v>79</v>
      </c>
      <c r="I728" s="22" t="s">
        <v>69</v>
      </c>
      <c r="J728" s="22" t="s">
        <v>2774</v>
      </c>
      <c r="K728" s="22">
        <v>4</v>
      </c>
      <c r="L728" s="22" t="s">
        <v>82</v>
      </c>
      <c r="M728" s="22" t="s">
        <v>87</v>
      </c>
      <c r="N728" s="24">
        <v>2332.08</v>
      </c>
      <c r="O728" s="22">
        <f>YEAR(B728)</f>
        <v>2024</v>
      </c>
      <c r="P728" s="25">
        <f>DATE(YEAR(B728),MONTH(B728),1)</f>
        <v>45566</v>
      </c>
      <c r="Q728" s="22" t="str">
        <f>IF(N728&gt;Summary!$C$17,"Outlier","")</f>
        <v/>
      </c>
      <c r="R728" s="22" t="str">
        <f>IF(L728="","None",L728)</f>
        <v>FREESHIP</v>
      </c>
    </row>
    <row r="729" spans="1:18" x14ac:dyDescent="0.2">
      <c r="A729" s="22" t="s">
        <v>2775</v>
      </c>
      <c r="B729" s="23">
        <v>45564</v>
      </c>
      <c r="C729" s="22" t="s">
        <v>2776</v>
      </c>
      <c r="D729" s="22" t="s">
        <v>61</v>
      </c>
      <c r="E729" s="22">
        <v>5</v>
      </c>
      <c r="F729" s="24">
        <v>95.75</v>
      </c>
      <c r="G729" s="22" t="s">
        <v>1735</v>
      </c>
      <c r="H729" s="22" t="s">
        <v>79</v>
      </c>
      <c r="I729" s="22" t="s">
        <v>70</v>
      </c>
      <c r="J729" s="22" t="s">
        <v>2777</v>
      </c>
      <c r="K729" s="22">
        <v>8</v>
      </c>
      <c r="L729" s="22" t="s">
        <v>83</v>
      </c>
      <c r="M729" s="22" t="s">
        <v>89</v>
      </c>
      <c r="N729" s="24">
        <v>478.75</v>
      </c>
      <c r="O729" s="22">
        <f>YEAR(B729)</f>
        <v>2024</v>
      </c>
      <c r="P729" s="25">
        <f>DATE(YEAR(B729),MONTH(B729),1)</f>
        <v>45536</v>
      </c>
      <c r="Q729" s="22" t="str">
        <f>IF(N729&gt;Summary!$C$17,"Outlier","")</f>
        <v/>
      </c>
      <c r="R729" s="22" t="str">
        <f>IF(L729="","None",L729)</f>
        <v>SAVE10</v>
      </c>
    </row>
    <row r="730" spans="1:18" x14ac:dyDescent="0.2">
      <c r="A730" s="22" t="s">
        <v>2778</v>
      </c>
      <c r="B730" s="23">
        <v>45502</v>
      </c>
      <c r="C730" s="22" t="s">
        <v>2779</v>
      </c>
      <c r="D730" s="22" t="s">
        <v>66</v>
      </c>
      <c r="E730" s="22">
        <v>4</v>
      </c>
      <c r="F730" s="24">
        <v>325.76</v>
      </c>
      <c r="G730" s="22" t="s">
        <v>2780</v>
      </c>
      <c r="H730" s="22" t="s">
        <v>78</v>
      </c>
      <c r="I730" s="22" t="s">
        <v>70</v>
      </c>
      <c r="J730" s="22" t="s">
        <v>2781</v>
      </c>
      <c r="K730" s="22">
        <v>8</v>
      </c>
      <c r="L730" s="22" t="s">
        <v>84</v>
      </c>
      <c r="M730" s="22" t="s">
        <v>86</v>
      </c>
      <c r="N730" s="24">
        <v>1303.04</v>
      </c>
      <c r="O730" s="22">
        <f>YEAR(B730)</f>
        <v>2024</v>
      </c>
      <c r="P730" s="25">
        <f>DATE(YEAR(B730),MONTH(B730),1)</f>
        <v>45474</v>
      </c>
      <c r="Q730" s="22" t="str">
        <f>IF(N730&gt;Summary!$C$17,"Outlier","")</f>
        <v/>
      </c>
      <c r="R730" s="22" t="str">
        <f>IF(L730="","None",L730)</f>
        <v>WINTER15</v>
      </c>
    </row>
    <row r="731" spans="1:18" x14ac:dyDescent="0.2">
      <c r="A731" s="22" t="s">
        <v>2782</v>
      </c>
      <c r="B731" s="23">
        <v>45177</v>
      </c>
      <c r="C731" s="22" t="s">
        <v>2783</v>
      </c>
      <c r="D731" s="22" t="s">
        <v>67</v>
      </c>
      <c r="E731" s="22">
        <v>4</v>
      </c>
      <c r="F731" s="24">
        <v>186.41</v>
      </c>
      <c r="G731" s="22" t="s">
        <v>740</v>
      </c>
      <c r="H731" s="22" t="s">
        <v>78</v>
      </c>
      <c r="I731" s="22" t="s">
        <v>71</v>
      </c>
      <c r="J731" s="22" t="s">
        <v>2784</v>
      </c>
      <c r="K731" s="22">
        <v>6</v>
      </c>
      <c r="L731" s="22" t="s">
        <v>83</v>
      </c>
      <c r="M731" s="22" t="s">
        <v>88</v>
      </c>
      <c r="N731" s="24">
        <v>745.64</v>
      </c>
      <c r="O731" s="22">
        <f>YEAR(B731)</f>
        <v>2023</v>
      </c>
      <c r="P731" s="25">
        <f>DATE(YEAR(B731),MONTH(B731),1)</f>
        <v>45170</v>
      </c>
      <c r="Q731" s="22" t="str">
        <f>IF(N731&gt;Summary!$C$17,"Outlier","")</f>
        <v/>
      </c>
      <c r="R731" s="22" t="str">
        <f>IF(L731="","None",L731)</f>
        <v>SAVE10</v>
      </c>
    </row>
    <row r="732" spans="1:18" x14ac:dyDescent="0.2">
      <c r="A732" s="22" t="s">
        <v>2785</v>
      </c>
      <c r="B732" s="23">
        <v>45710</v>
      </c>
      <c r="C732" s="22" t="s">
        <v>2786</v>
      </c>
      <c r="D732" s="22" t="s">
        <v>67</v>
      </c>
      <c r="E732" s="22">
        <v>1</v>
      </c>
      <c r="F732" s="24">
        <v>474.6</v>
      </c>
      <c r="G732" s="22" t="s">
        <v>1049</v>
      </c>
      <c r="H732" s="22" t="s">
        <v>77</v>
      </c>
      <c r="I732" s="22" t="s">
        <v>69</v>
      </c>
      <c r="J732" s="22" t="s">
        <v>2787</v>
      </c>
      <c r="K732" s="22">
        <v>4</v>
      </c>
      <c r="L732" s="22" t="s">
        <v>83</v>
      </c>
      <c r="M732" s="22" t="s">
        <v>86</v>
      </c>
      <c r="N732" s="24">
        <v>474.6</v>
      </c>
      <c r="O732" s="22">
        <f>YEAR(B732)</f>
        <v>2025</v>
      </c>
      <c r="P732" s="25">
        <f>DATE(YEAR(B732),MONTH(B732),1)</f>
        <v>45689</v>
      </c>
      <c r="Q732" s="22" t="str">
        <f>IF(N732&gt;Summary!$C$17,"Outlier","")</f>
        <v/>
      </c>
      <c r="R732" s="22" t="str">
        <f>IF(L732="","None",L732)</f>
        <v>SAVE10</v>
      </c>
    </row>
    <row r="733" spans="1:18" x14ac:dyDescent="0.2">
      <c r="A733" s="22" t="s">
        <v>2788</v>
      </c>
      <c r="B733" s="23">
        <v>45450</v>
      </c>
      <c r="C733" s="22" t="s">
        <v>2789</v>
      </c>
      <c r="D733" s="22" t="s">
        <v>62</v>
      </c>
      <c r="E733" s="22">
        <v>5</v>
      </c>
      <c r="F733" s="24">
        <v>584.46</v>
      </c>
      <c r="G733" s="22" t="s">
        <v>2790</v>
      </c>
      <c r="H733" s="22" t="s">
        <v>76</v>
      </c>
      <c r="I733" s="22" t="s">
        <v>72</v>
      </c>
      <c r="J733" s="22" t="s">
        <v>2791</v>
      </c>
      <c r="K733" s="22">
        <v>8</v>
      </c>
      <c r="L733" s="22"/>
      <c r="M733" s="22" t="s">
        <v>86</v>
      </c>
      <c r="N733" s="24">
        <v>2922.3</v>
      </c>
      <c r="O733" s="22">
        <f>YEAR(B733)</f>
        <v>2024</v>
      </c>
      <c r="P733" s="25">
        <f>DATE(YEAR(B733),MONTH(B733),1)</f>
        <v>45444</v>
      </c>
      <c r="Q733" s="22" t="str">
        <f>IF(N733&gt;Summary!$C$17,"Outlier","")</f>
        <v/>
      </c>
      <c r="R733" s="22" t="str">
        <f>IF(L733="","None",L733)</f>
        <v>None</v>
      </c>
    </row>
    <row r="734" spans="1:18" x14ac:dyDescent="0.2">
      <c r="A734" s="22" t="s">
        <v>2792</v>
      </c>
      <c r="B734" s="23">
        <v>45723</v>
      </c>
      <c r="C734" s="22" t="s">
        <v>2793</v>
      </c>
      <c r="D734" s="22" t="s">
        <v>63</v>
      </c>
      <c r="E734" s="22">
        <v>1</v>
      </c>
      <c r="F734" s="24">
        <v>132.05000000000001</v>
      </c>
      <c r="G734" s="22" t="s">
        <v>2645</v>
      </c>
      <c r="H734" s="22" t="s">
        <v>79</v>
      </c>
      <c r="I734" s="22" t="s">
        <v>69</v>
      </c>
      <c r="J734" s="22" t="s">
        <v>2794</v>
      </c>
      <c r="K734" s="22">
        <v>2</v>
      </c>
      <c r="L734" s="22"/>
      <c r="M734" s="22" t="s">
        <v>88</v>
      </c>
      <c r="N734" s="24">
        <v>132.05000000000001</v>
      </c>
      <c r="O734" s="22">
        <f>YEAR(B734)</f>
        <v>2025</v>
      </c>
      <c r="P734" s="25">
        <f>DATE(YEAR(B734),MONTH(B734),1)</f>
        <v>45717</v>
      </c>
      <c r="Q734" s="22" t="str">
        <f>IF(N734&gt;Summary!$C$17,"Outlier","")</f>
        <v/>
      </c>
      <c r="R734" s="22" t="str">
        <f>IF(L734="","None",L734)</f>
        <v>None</v>
      </c>
    </row>
    <row r="735" spans="1:18" x14ac:dyDescent="0.2">
      <c r="A735" s="22" t="s">
        <v>2795</v>
      </c>
      <c r="B735" s="23">
        <v>45264</v>
      </c>
      <c r="C735" s="22" t="s">
        <v>2796</v>
      </c>
      <c r="D735" s="22" t="s">
        <v>64</v>
      </c>
      <c r="E735" s="22">
        <v>4</v>
      </c>
      <c r="F735" s="24">
        <v>494.84</v>
      </c>
      <c r="G735" s="22" t="s">
        <v>2611</v>
      </c>
      <c r="H735" s="22" t="s">
        <v>75</v>
      </c>
      <c r="I735" s="22" t="s">
        <v>72</v>
      </c>
      <c r="J735" s="22" t="s">
        <v>2797</v>
      </c>
      <c r="K735" s="22">
        <v>8</v>
      </c>
      <c r="L735" s="22" t="s">
        <v>83</v>
      </c>
      <c r="M735" s="22" t="s">
        <v>86</v>
      </c>
      <c r="N735" s="24">
        <v>1979.36</v>
      </c>
      <c r="O735" s="22">
        <f>YEAR(B735)</f>
        <v>2023</v>
      </c>
      <c r="P735" s="25">
        <f>DATE(YEAR(B735),MONTH(B735),1)</f>
        <v>45261</v>
      </c>
      <c r="Q735" s="22" t="str">
        <f>IF(N735&gt;Summary!$C$17,"Outlier","")</f>
        <v/>
      </c>
      <c r="R735" s="22" t="str">
        <f>IF(L735="","None",L735)</f>
        <v>SAVE10</v>
      </c>
    </row>
    <row r="736" spans="1:18" x14ac:dyDescent="0.2">
      <c r="A736" s="22" t="s">
        <v>2798</v>
      </c>
      <c r="B736" s="23">
        <v>45314</v>
      </c>
      <c r="C736" s="22" t="s">
        <v>2799</v>
      </c>
      <c r="D736" s="22" t="s">
        <v>62</v>
      </c>
      <c r="E736" s="22">
        <v>4</v>
      </c>
      <c r="F736" s="24">
        <v>224.61</v>
      </c>
      <c r="G736" s="22" t="s">
        <v>1224</v>
      </c>
      <c r="H736" s="22" t="s">
        <v>76</v>
      </c>
      <c r="I736" s="22" t="s">
        <v>72</v>
      </c>
      <c r="J736" s="22" t="s">
        <v>2800</v>
      </c>
      <c r="K736" s="22">
        <v>6</v>
      </c>
      <c r="L736" s="22" t="s">
        <v>84</v>
      </c>
      <c r="M736" s="22" t="s">
        <v>87</v>
      </c>
      <c r="N736" s="24">
        <v>898.44</v>
      </c>
      <c r="O736" s="22">
        <f>YEAR(B736)</f>
        <v>2024</v>
      </c>
      <c r="P736" s="25">
        <f>DATE(YEAR(B736),MONTH(B736),1)</f>
        <v>45292</v>
      </c>
      <c r="Q736" s="22" t="str">
        <f>IF(N736&gt;Summary!$C$17,"Outlier","")</f>
        <v/>
      </c>
      <c r="R736" s="22" t="str">
        <f>IF(L736="","None",L736)</f>
        <v>WINTER15</v>
      </c>
    </row>
    <row r="737" spans="1:18" x14ac:dyDescent="0.2">
      <c r="A737" s="22" t="s">
        <v>2801</v>
      </c>
      <c r="B737" s="23">
        <v>45471</v>
      </c>
      <c r="C737" s="22" t="s">
        <v>2802</v>
      </c>
      <c r="D737" s="22" t="s">
        <v>65</v>
      </c>
      <c r="E737" s="22">
        <v>4</v>
      </c>
      <c r="F737" s="24">
        <v>44.07</v>
      </c>
      <c r="G737" s="22" t="s">
        <v>1617</v>
      </c>
      <c r="H737" s="22" t="s">
        <v>77</v>
      </c>
      <c r="I737" s="22" t="s">
        <v>71</v>
      </c>
      <c r="J737" s="22" t="s">
        <v>2803</v>
      </c>
      <c r="K737" s="22">
        <v>6</v>
      </c>
      <c r="L737" s="22"/>
      <c r="M737" s="22" t="s">
        <v>86</v>
      </c>
      <c r="N737" s="24">
        <v>176.28</v>
      </c>
      <c r="O737" s="22">
        <f>YEAR(B737)</f>
        <v>2024</v>
      </c>
      <c r="P737" s="25">
        <f>DATE(YEAR(B737),MONTH(B737),1)</f>
        <v>45444</v>
      </c>
      <c r="Q737" s="22" t="str">
        <f>IF(N737&gt;Summary!$C$17,"Outlier","")</f>
        <v/>
      </c>
      <c r="R737" s="22" t="str">
        <f>IF(L737="","None",L737)</f>
        <v>None</v>
      </c>
    </row>
    <row r="738" spans="1:18" x14ac:dyDescent="0.2">
      <c r="A738" s="22" t="s">
        <v>2804</v>
      </c>
      <c r="B738" s="23">
        <v>45331</v>
      </c>
      <c r="C738" s="22" t="s">
        <v>2805</v>
      </c>
      <c r="D738" s="22" t="s">
        <v>65</v>
      </c>
      <c r="E738" s="22">
        <v>5</v>
      </c>
      <c r="F738" s="24">
        <v>418.53</v>
      </c>
      <c r="G738" s="22" t="s">
        <v>2019</v>
      </c>
      <c r="H738" s="22" t="s">
        <v>76</v>
      </c>
      <c r="I738" s="22" t="s">
        <v>71</v>
      </c>
      <c r="J738" s="22" t="s">
        <v>2806</v>
      </c>
      <c r="K738" s="22">
        <v>6</v>
      </c>
      <c r="L738" s="22" t="s">
        <v>82</v>
      </c>
      <c r="M738" s="22" t="s">
        <v>88</v>
      </c>
      <c r="N738" s="24">
        <v>2092.65</v>
      </c>
      <c r="O738" s="22">
        <f>YEAR(B738)</f>
        <v>2024</v>
      </c>
      <c r="P738" s="25">
        <f>DATE(YEAR(B738),MONTH(B738),1)</f>
        <v>45323</v>
      </c>
      <c r="Q738" s="22" t="str">
        <f>IF(N738&gt;Summary!$C$17,"Outlier","")</f>
        <v/>
      </c>
      <c r="R738" s="22" t="str">
        <f>IF(L738="","None",L738)</f>
        <v>FREESHIP</v>
      </c>
    </row>
    <row r="739" spans="1:18" x14ac:dyDescent="0.2">
      <c r="A739" s="22" t="s">
        <v>2807</v>
      </c>
      <c r="B739" s="23">
        <v>45294</v>
      </c>
      <c r="C739" s="22" t="s">
        <v>2808</v>
      </c>
      <c r="D739" s="22" t="s">
        <v>67</v>
      </c>
      <c r="E739" s="22">
        <v>4</v>
      </c>
      <c r="F739" s="24">
        <v>532.87</v>
      </c>
      <c r="G739" s="22" t="s">
        <v>2809</v>
      </c>
      <c r="H739" s="22" t="s">
        <v>75</v>
      </c>
      <c r="I739" s="22" t="s">
        <v>71</v>
      </c>
      <c r="J739" s="22" t="s">
        <v>2810</v>
      </c>
      <c r="K739" s="22">
        <v>9</v>
      </c>
      <c r="L739" s="22" t="s">
        <v>82</v>
      </c>
      <c r="M739" s="22" t="s">
        <v>89</v>
      </c>
      <c r="N739" s="24">
        <v>2131.48</v>
      </c>
      <c r="O739" s="22">
        <f>YEAR(B739)</f>
        <v>2024</v>
      </c>
      <c r="P739" s="25">
        <f>DATE(YEAR(B739),MONTH(B739),1)</f>
        <v>45292</v>
      </c>
      <c r="Q739" s="22" t="str">
        <f>IF(N739&gt;Summary!$C$17,"Outlier","")</f>
        <v/>
      </c>
      <c r="R739" s="22" t="str">
        <f>IF(L739="","None",L739)</f>
        <v>FREESHIP</v>
      </c>
    </row>
    <row r="740" spans="1:18" x14ac:dyDescent="0.2">
      <c r="A740" s="22" t="s">
        <v>2811</v>
      </c>
      <c r="B740" s="23">
        <v>45812</v>
      </c>
      <c r="C740" s="22" t="s">
        <v>2812</v>
      </c>
      <c r="D740" s="22" t="s">
        <v>67</v>
      </c>
      <c r="E740" s="22">
        <v>2</v>
      </c>
      <c r="F740" s="24">
        <v>485.37</v>
      </c>
      <c r="G740" s="22" t="s">
        <v>2813</v>
      </c>
      <c r="H740" s="22" t="s">
        <v>76</v>
      </c>
      <c r="I740" s="22" t="s">
        <v>70</v>
      </c>
      <c r="J740" s="22" t="s">
        <v>2814</v>
      </c>
      <c r="K740" s="22">
        <v>5</v>
      </c>
      <c r="L740" s="22" t="s">
        <v>83</v>
      </c>
      <c r="M740" s="22" t="s">
        <v>86</v>
      </c>
      <c r="N740" s="24">
        <v>970.74</v>
      </c>
      <c r="O740" s="22">
        <f>YEAR(B740)</f>
        <v>2025</v>
      </c>
      <c r="P740" s="25">
        <f>DATE(YEAR(B740),MONTH(B740),1)</f>
        <v>45809</v>
      </c>
      <c r="Q740" s="22" t="str">
        <f>IF(N740&gt;Summary!$C$17,"Outlier","")</f>
        <v/>
      </c>
      <c r="R740" s="22" t="str">
        <f>IF(L740="","None",L740)</f>
        <v>SAVE10</v>
      </c>
    </row>
    <row r="741" spans="1:18" x14ac:dyDescent="0.2">
      <c r="A741" s="22" t="s">
        <v>2815</v>
      </c>
      <c r="B741" s="23">
        <v>45456</v>
      </c>
      <c r="C741" s="22" t="s">
        <v>2816</v>
      </c>
      <c r="D741" s="22" t="s">
        <v>67</v>
      </c>
      <c r="E741" s="22">
        <v>4</v>
      </c>
      <c r="F741" s="24">
        <v>386.73</v>
      </c>
      <c r="G741" s="22" t="s">
        <v>630</v>
      </c>
      <c r="H741" s="22" t="s">
        <v>75</v>
      </c>
      <c r="I741" s="22" t="s">
        <v>69</v>
      </c>
      <c r="J741" s="22" t="s">
        <v>2817</v>
      </c>
      <c r="K741" s="22">
        <v>4</v>
      </c>
      <c r="L741" s="22" t="s">
        <v>83</v>
      </c>
      <c r="M741" s="22" t="s">
        <v>87</v>
      </c>
      <c r="N741" s="24">
        <v>1546.92</v>
      </c>
      <c r="O741" s="22">
        <f>YEAR(B741)</f>
        <v>2024</v>
      </c>
      <c r="P741" s="25">
        <f>DATE(YEAR(B741),MONTH(B741),1)</f>
        <v>45444</v>
      </c>
      <c r="Q741" s="22" t="str">
        <f>IF(N741&gt;Summary!$C$17,"Outlier","")</f>
        <v/>
      </c>
      <c r="R741" s="22" t="str">
        <f>IF(L741="","None",L741)</f>
        <v>SAVE10</v>
      </c>
    </row>
    <row r="742" spans="1:18" x14ac:dyDescent="0.2">
      <c r="A742" s="22" t="s">
        <v>2818</v>
      </c>
      <c r="B742" s="23">
        <v>45493</v>
      </c>
      <c r="C742" s="22" t="s">
        <v>2819</v>
      </c>
      <c r="D742" s="22" t="s">
        <v>66</v>
      </c>
      <c r="E742" s="22">
        <v>2</v>
      </c>
      <c r="F742" s="24">
        <v>377.47</v>
      </c>
      <c r="G742" s="22" t="s">
        <v>1745</v>
      </c>
      <c r="H742" s="22" t="s">
        <v>75</v>
      </c>
      <c r="I742" s="22" t="s">
        <v>71</v>
      </c>
      <c r="J742" s="22" t="s">
        <v>2820</v>
      </c>
      <c r="K742" s="22">
        <v>7</v>
      </c>
      <c r="L742" s="22"/>
      <c r="M742" s="22" t="s">
        <v>88</v>
      </c>
      <c r="N742" s="24">
        <v>754.94</v>
      </c>
      <c r="O742" s="22">
        <f>YEAR(B742)</f>
        <v>2024</v>
      </c>
      <c r="P742" s="25">
        <f>DATE(YEAR(B742),MONTH(B742),1)</f>
        <v>45474</v>
      </c>
      <c r="Q742" s="22" t="str">
        <f>IF(N742&gt;Summary!$C$17,"Outlier","")</f>
        <v/>
      </c>
      <c r="R742" s="22" t="str">
        <f>IF(L742="","None",L742)</f>
        <v>None</v>
      </c>
    </row>
    <row r="743" spans="1:18" x14ac:dyDescent="0.2">
      <c r="A743" s="22" t="s">
        <v>2821</v>
      </c>
      <c r="B743" s="23">
        <v>45680</v>
      </c>
      <c r="C743" s="22" t="s">
        <v>2822</v>
      </c>
      <c r="D743" s="22" t="s">
        <v>65</v>
      </c>
      <c r="E743" s="22">
        <v>5</v>
      </c>
      <c r="F743" s="24">
        <v>332.64</v>
      </c>
      <c r="G743" s="22" t="s">
        <v>2823</v>
      </c>
      <c r="H743" s="22" t="s">
        <v>78</v>
      </c>
      <c r="I743" s="22" t="s">
        <v>69</v>
      </c>
      <c r="J743" s="22" t="s">
        <v>2824</v>
      </c>
      <c r="K743" s="22">
        <v>10</v>
      </c>
      <c r="L743" s="22"/>
      <c r="M743" s="22" t="s">
        <v>90</v>
      </c>
      <c r="N743" s="24">
        <v>1663.2</v>
      </c>
      <c r="O743" s="22">
        <f>YEAR(B743)</f>
        <v>2025</v>
      </c>
      <c r="P743" s="25">
        <f>DATE(YEAR(B743),MONTH(B743),1)</f>
        <v>45658</v>
      </c>
      <c r="Q743" s="22" t="str">
        <f>IF(N743&gt;Summary!$C$17,"Outlier","")</f>
        <v/>
      </c>
      <c r="R743" s="22" t="str">
        <f>IF(L743="","None",L743)</f>
        <v>None</v>
      </c>
    </row>
    <row r="744" spans="1:18" x14ac:dyDescent="0.2">
      <c r="A744" s="22" t="s">
        <v>2825</v>
      </c>
      <c r="B744" s="23">
        <v>45626</v>
      </c>
      <c r="C744" s="22" t="s">
        <v>2826</v>
      </c>
      <c r="D744" s="22" t="s">
        <v>63</v>
      </c>
      <c r="E744" s="22">
        <v>3</v>
      </c>
      <c r="F744" s="24">
        <v>699.93</v>
      </c>
      <c r="G744" s="22" t="s">
        <v>1275</v>
      </c>
      <c r="H744" s="22" t="s">
        <v>75</v>
      </c>
      <c r="I744" s="22" t="s">
        <v>72</v>
      </c>
      <c r="J744" s="22" t="s">
        <v>2827</v>
      </c>
      <c r="K744" s="22">
        <v>7</v>
      </c>
      <c r="L744" s="22" t="s">
        <v>83</v>
      </c>
      <c r="M744" s="22" t="s">
        <v>88</v>
      </c>
      <c r="N744" s="24">
        <v>2099.79</v>
      </c>
      <c r="O744" s="22">
        <f>YEAR(B744)</f>
        <v>2024</v>
      </c>
      <c r="P744" s="25">
        <f>DATE(YEAR(B744),MONTH(B744),1)</f>
        <v>45597</v>
      </c>
      <c r="Q744" s="22" t="str">
        <f>IF(N744&gt;Summary!$C$17,"Outlier","")</f>
        <v/>
      </c>
      <c r="R744" s="22" t="str">
        <f>IF(L744="","None",L744)</f>
        <v>SAVE10</v>
      </c>
    </row>
    <row r="745" spans="1:18" x14ac:dyDescent="0.2">
      <c r="A745" s="22" t="s">
        <v>2828</v>
      </c>
      <c r="B745" s="23">
        <v>45565</v>
      </c>
      <c r="C745" s="22" t="s">
        <v>2829</v>
      </c>
      <c r="D745" s="22" t="s">
        <v>65</v>
      </c>
      <c r="E745" s="22">
        <v>1</v>
      </c>
      <c r="F745" s="24">
        <v>576.35</v>
      </c>
      <c r="G745" s="22" t="s">
        <v>271</v>
      </c>
      <c r="H745" s="22" t="s">
        <v>78</v>
      </c>
      <c r="I745" s="22" t="s">
        <v>72</v>
      </c>
      <c r="J745" s="22" t="s">
        <v>2830</v>
      </c>
      <c r="K745" s="22">
        <v>1</v>
      </c>
      <c r="L745" s="22" t="s">
        <v>84</v>
      </c>
      <c r="M745" s="22" t="s">
        <v>89</v>
      </c>
      <c r="N745" s="24">
        <v>576.35</v>
      </c>
      <c r="O745" s="22">
        <f>YEAR(B745)</f>
        <v>2024</v>
      </c>
      <c r="P745" s="25">
        <f>DATE(YEAR(B745),MONTH(B745),1)</f>
        <v>45536</v>
      </c>
      <c r="Q745" s="22" t="str">
        <f>IF(N745&gt;Summary!$C$17,"Outlier","")</f>
        <v/>
      </c>
      <c r="R745" s="22" t="str">
        <f>IF(L745="","None",L745)</f>
        <v>WINTER15</v>
      </c>
    </row>
    <row r="746" spans="1:18" x14ac:dyDescent="0.2">
      <c r="A746" s="22" t="s">
        <v>2831</v>
      </c>
      <c r="B746" s="23">
        <v>45455</v>
      </c>
      <c r="C746" s="22" t="s">
        <v>2832</v>
      </c>
      <c r="D746" s="22" t="s">
        <v>64</v>
      </c>
      <c r="E746" s="22">
        <v>2</v>
      </c>
      <c r="F746" s="24">
        <v>461.37</v>
      </c>
      <c r="G746" s="22" t="s">
        <v>2833</v>
      </c>
      <c r="H746" s="22" t="s">
        <v>75</v>
      </c>
      <c r="I746" s="22" t="s">
        <v>69</v>
      </c>
      <c r="J746" s="22" t="s">
        <v>2834</v>
      </c>
      <c r="K746" s="22">
        <v>5</v>
      </c>
      <c r="L746" s="22" t="s">
        <v>83</v>
      </c>
      <c r="M746" s="22" t="s">
        <v>88</v>
      </c>
      <c r="N746" s="24">
        <v>922.74</v>
      </c>
      <c r="O746" s="22">
        <f>YEAR(B746)</f>
        <v>2024</v>
      </c>
      <c r="P746" s="25">
        <f>DATE(YEAR(B746),MONTH(B746),1)</f>
        <v>45444</v>
      </c>
      <c r="Q746" s="22" t="str">
        <f>IF(N746&gt;Summary!$C$17,"Outlier","")</f>
        <v/>
      </c>
      <c r="R746" s="22" t="str">
        <f>IF(L746="","None",L746)</f>
        <v>SAVE10</v>
      </c>
    </row>
    <row r="747" spans="1:18" x14ac:dyDescent="0.2">
      <c r="A747" s="22" t="s">
        <v>2835</v>
      </c>
      <c r="B747" s="23">
        <v>44987</v>
      </c>
      <c r="C747" s="22" t="s">
        <v>2836</v>
      </c>
      <c r="D747" s="22" t="s">
        <v>62</v>
      </c>
      <c r="E747" s="22">
        <v>4</v>
      </c>
      <c r="F747" s="24">
        <v>111.3</v>
      </c>
      <c r="G747" s="22" t="s">
        <v>2837</v>
      </c>
      <c r="H747" s="22" t="s">
        <v>77</v>
      </c>
      <c r="I747" s="22" t="s">
        <v>71</v>
      </c>
      <c r="J747" s="22" t="s">
        <v>2838</v>
      </c>
      <c r="K747" s="22">
        <v>7</v>
      </c>
      <c r="L747" s="22" t="s">
        <v>82</v>
      </c>
      <c r="M747" s="22" t="s">
        <v>86</v>
      </c>
      <c r="N747" s="24">
        <v>445.2</v>
      </c>
      <c r="O747" s="22">
        <f>YEAR(B747)</f>
        <v>2023</v>
      </c>
      <c r="P747" s="25">
        <f>DATE(YEAR(B747),MONTH(B747),1)</f>
        <v>44986</v>
      </c>
      <c r="Q747" s="22" t="str">
        <f>IF(N747&gt;Summary!$C$17,"Outlier","")</f>
        <v/>
      </c>
      <c r="R747" s="22" t="str">
        <f>IF(L747="","None",L747)</f>
        <v>FREESHIP</v>
      </c>
    </row>
    <row r="748" spans="1:18" x14ac:dyDescent="0.2">
      <c r="A748" s="22" t="s">
        <v>2839</v>
      </c>
      <c r="B748" s="23">
        <v>45712</v>
      </c>
      <c r="C748" s="22" t="s">
        <v>2840</v>
      </c>
      <c r="D748" s="22" t="s">
        <v>66</v>
      </c>
      <c r="E748" s="22">
        <v>3</v>
      </c>
      <c r="F748" s="24">
        <v>661.89</v>
      </c>
      <c r="G748" s="22" t="s">
        <v>2841</v>
      </c>
      <c r="H748" s="22" t="s">
        <v>79</v>
      </c>
      <c r="I748" s="22" t="s">
        <v>73</v>
      </c>
      <c r="J748" s="22" t="s">
        <v>2842</v>
      </c>
      <c r="K748" s="22">
        <v>6</v>
      </c>
      <c r="L748" s="22" t="s">
        <v>84</v>
      </c>
      <c r="M748" s="22" t="s">
        <v>90</v>
      </c>
      <c r="N748" s="24">
        <v>1985.67</v>
      </c>
      <c r="O748" s="22">
        <f>YEAR(B748)</f>
        <v>2025</v>
      </c>
      <c r="P748" s="25">
        <f>DATE(YEAR(B748),MONTH(B748),1)</f>
        <v>45689</v>
      </c>
      <c r="Q748" s="22" t="str">
        <f>IF(N748&gt;Summary!$C$17,"Outlier","")</f>
        <v/>
      </c>
      <c r="R748" s="22" t="str">
        <f>IF(L748="","None",L748)</f>
        <v>WINTER15</v>
      </c>
    </row>
    <row r="749" spans="1:18" x14ac:dyDescent="0.2">
      <c r="A749" s="22" t="s">
        <v>2843</v>
      </c>
      <c r="B749" s="23">
        <v>45728</v>
      </c>
      <c r="C749" s="22" t="s">
        <v>2844</v>
      </c>
      <c r="D749" s="22" t="s">
        <v>64</v>
      </c>
      <c r="E749" s="22">
        <v>2</v>
      </c>
      <c r="F749" s="24">
        <v>259.58</v>
      </c>
      <c r="G749" s="22" t="s">
        <v>2845</v>
      </c>
      <c r="H749" s="22" t="s">
        <v>77</v>
      </c>
      <c r="I749" s="22" t="s">
        <v>69</v>
      </c>
      <c r="J749" s="22" t="s">
        <v>2846</v>
      </c>
      <c r="K749" s="22">
        <v>7</v>
      </c>
      <c r="L749" s="22" t="s">
        <v>82</v>
      </c>
      <c r="M749" s="22" t="s">
        <v>89</v>
      </c>
      <c r="N749" s="24">
        <v>519.16</v>
      </c>
      <c r="O749" s="22">
        <f>YEAR(B749)</f>
        <v>2025</v>
      </c>
      <c r="P749" s="25">
        <f>DATE(YEAR(B749),MONTH(B749),1)</f>
        <v>45717</v>
      </c>
      <c r="Q749" s="22" t="str">
        <f>IF(N749&gt;Summary!$C$17,"Outlier","")</f>
        <v/>
      </c>
      <c r="R749" s="22" t="str">
        <f>IF(L749="","None",L749)</f>
        <v>FREESHIP</v>
      </c>
    </row>
    <row r="750" spans="1:18" x14ac:dyDescent="0.2">
      <c r="A750" s="22" t="s">
        <v>2847</v>
      </c>
      <c r="B750" s="23">
        <v>45488</v>
      </c>
      <c r="C750" s="22" t="s">
        <v>2848</v>
      </c>
      <c r="D750" s="22" t="s">
        <v>64</v>
      </c>
      <c r="E750" s="22">
        <v>3</v>
      </c>
      <c r="F750" s="24">
        <v>70.81</v>
      </c>
      <c r="G750" s="22" t="s">
        <v>1982</v>
      </c>
      <c r="H750" s="22" t="s">
        <v>76</v>
      </c>
      <c r="I750" s="22" t="s">
        <v>70</v>
      </c>
      <c r="J750" s="22" t="s">
        <v>2849</v>
      </c>
      <c r="K750" s="22">
        <v>8</v>
      </c>
      <c r="L750" s="22" t="s">
        <v>82</v>
      </c>
      <c r="M750" s="22" t="s">
        <v>90</v>
      </c>
      <c r="N750" s="24">
        <v>212.43</v>
      </c>
      <c r="O750" s="22">
        <f>YEAR(B750)</f>
        <v>2024</v>
      </c>
      <c r="P750" s="25">
        <f>DATE(YEAR(B750),MONTH(B750),1)</f>
        <v>45474</v>
      </c>
      <c r="Q750" s="22" t="str">
        <f>IF(N750&gt;Summary!$C$17,"Outlier","")</f>
        <v/>
      </c>
      <c r="R750" s="22" t="str">
        <f>IF(L750="","None",L750)</f>
        <v>FREESHIP</v>
      </c>
    </row>
    <row r="751" spans="1:18" x14ac:dyDescent="0.2">
      <c r="A751" s="22" t="s">
        <v>2850</v>
      </c>
      <c r="B751" s="23">
        <v>45760</v>
      </c>
      <c r="C751" s="22" t="s">
        <v>2851</v>
      </c>
      <c r="D751" s="22" t="s">
        <v>63</v>
      </c>
      <c r="E751" s="22">
        <v>1</v>
      </c>
      <c r="F751" s="24">
        <v>518.39</v>
      </c>
      <c r="G751" s="22" t="s">
        <v>2852</v>
      </c>
      <c r="H751" s="22" t="s">
        <v>77</v>
      </c>
      <c r="I751" s="22" t="s">
        <v>71</v>
      </c>
      <c r="J751" s="22" t="s">
        <v>2853</v>
      </c>
      <c r="K751" s="22">
        <v>4</v>
      </c>
      <c r="L751" s="22" t="s">
        <v>82</v>
      </c>
      <c r="M751" s="22" t="s">
        <v>89</v>
      </c>
      <c r="N751" s="24">
        <v>518.39</v>
      </c>
      <c r="O751" s="22">
        <f>YEAR(B751)</f>
        <v>2025</v>
      </c>
      <c r="P751" s="25">
        <f>DATE(YEAR(B751),MONTH(B751),1)</f>
        <v>45748</v>
      </c>
      <c r="Q751" s="22" t="str">
        <f>IF(N751&gt;Summary!$C$17,"Outlier","")</f>
        <v/>
      </c>
      <c r="R751" s="22" t="str">
        <f>IF(L751="","None",L751)</f>
        <v>FREESHIP</v>
      </c>
    </row>
    <row r="752" spans="1:18" x14ac:dyDescent="0.2">
      <c r="A752" s="22" t="s">
        <v>2854</v>
      </c>
      <c r="B752" s="23">
        <v>44940</v>
      </c>
      <c r="C752" s="22" t="s">
        <v>2855</v>
      </c>
      <c r="D752" s="22" t="s">
        <v>64</v>
      </c>
      <c r="E752" s="22">
        <v>4</v>
      </c>
      <c r="F752" s="24">
        <v>145.41</v>
      </c>
      <c r="G752" s="22" t="s">
        <v>2856</v>
      </c>
      <c r="H752" s="22" t="s">
        <v>76</v>
      </c>
      <c r="I752" s="22" t="s">
        <v>72</v>
      </c>
      <c r="J752" s="22" t="s">
        <v>2857</v>
      </c>
      <c r="K752" s="22">
        <v>7</v>
      </c>
      <c r="L752" s="22" t="s">
        <v>82</v>
      </c>
      <c r="M752" s="22" t="s">
        <v>86</v>
      </c>
      <c r="N752" s="24">
        <v>581.64</v>
      </c>
      <c r="O752" s="22">
        <f>YEAR(B752)</f>
        <v>2023</v>
      </c>
      <c r="P752" s="25">
        <f>DATE(YEAR(B752),MONTH(B752),1)</f>
        <v>44927</v>
      </c>
      <c r="Q752" s="22" t="str">
        <f>IF(N752&gt;Summary!$C$17,"Outlier","")</f>
        <v/>
      </c>
      <c r="R752" s="22" t="str">
        <f>IF(L752="","None",L752)</f>
        <v>FREESHIP</v>
      </c>
    </row>
    <row r="753" spans="1:18" x14ac:dyDescent="0.2">
      <c r="A753" s="22" t="s">
        <v>2858</v>
      </c>
      <c r="B753" s="23">
        <v>44950</v>
      </c>
      <c r="C753" s="22" t="s">
        <v>2859</v>
      </c>
      <c r="D753" s="22" t="s">
        <v>64</v>
      </c>
      <c r="E753" s="22">
        <v>2</v>
      </c>
      <c r="F753" s="24">
        <v>599.86</v>
      </c>
      <c r="G753" s="22" t="s">
        <v>2860</v>
      </c>
      <c r="H753" s="22" t="s">
        <v>78</v>
      </c>
      <c r="I753" s="22" t="s">
        <v>71</v>
      </c>
      <c r="J753" s="22" t="s">
        <v>2861</v>
      </c>
      <c r="K753" s="22">
        <v>7</v>
      </c>
      <c r="L753" s="22" t="s">
        <v>82</v>
      </c>
      <c r="M753" s="22" t="s">
        <v>87</v>
      </c>
      <c r="N753" s="24">
        <v>1199.72</v>
      </c>
      <c r="O753" s="22">
        <f>YEAR(B753)</f>
        <v>2023</v>
      </c>
      <c r="P753" s="25">
        <f>DATE(YEAR(B753),MONTH(B753),1)</f>
        <v>44927</v>
      </c>
      <c r="Q753" s="22" t="str">
        <f>IF(N753&gt;Summary!$C$17,"Outlier","")</f>
        <v/>
      </c>
      <c r="R753" s="22" t="str">
        <f>IF(L753="","None",L753)</f>
        <v>FREESHIP</v>
      </c>
    </row>
    <row r="754" spans="1:18" x14ac:dyDescent="0.2">
      <c r="A754" s="22" t="s">
        <v>2862</v>
      </c>
      <c r="B754" s="23">
        <v>45568</v>
      </c>
      <c r="C754" s="22" t="s">
        <v>2863</v>
      </c>
      <c r="D754" s="22" t="s">
        <v>67</v>
      </c>
      <c r="E754" s="22">
        <v>4</v>
      </c>
      <c r="F754" s="24">
        <v>429.37</v>
      </c>
      <c r="G754" s="22" t="s">
        <v>1190</v>
      </c>
      <c r="H754" s="22" t="s">
        <v>76</v>
      </c>
      <c r="I754" s="22" t="s">
        <v>69</v>
      </c>
      <c r="J754" s="22" t="s">
        <v>2864</v>
      </c>
      <c r="K754" s="22">
        <v>8</v>
      </c>
      <c r="L754" s="22" t="s">
        <v>82</v>
      </c>
      <c r="M754" s="22" t="s">
        <v>88</v>
      </c>
      <c r="N754" s="24">
        <v>1717.48</v>
      </c>
      <c r="O754" s="22">
        <f>YEAR(B754)</f>
        <v>2024</v>
      </c>
      <c r="P754" s="25">
        <f>DATE(YEAR(B754),MONTH(B754),1)</f>
        <v>45566</v>
      </c>
      <c r="Q754" s="22" t="str">
        <f>IF(N754&gt;Summary!$C$17,"Outlier","")</f>
        <v/>
      </c>
      <c r="R754" s="22" t="str">
        <f>IF(L754="","None",L754)</f>
        <v>FREESHIP</v>
      </c>
    </row>
    <row r="755" spans="1:18" x14ac:dyDescent="0.2">
      <c r="A755" s="22" t="s">
        <v>2865</v>
      </c>
      <c r="B755" s="23">
        <v>45406</v>
      </c>
      <c r="C755" s="22" t="s">
        <v>2866</v>
      </c>
      <c r="D755" s="22" t="s">
        <v>67</v>
      </c>
      <c r="E755" s="22">
        <v>2</v>
      </c>
      <c r="F755" s="24">
        <v>241.49</v>
      </c>
      <c r="G755" s="22" t="s">
        <v>2867</v>
      </c>
      <c r="H755" s="22" t="s">
        <v>77</v>
      </c>
      <c r="I755" s="22" t="s">
        <v>72</v>
      </c>
      <c r="J755" s="22" t="s">
        <v>2868</v>
      </c>
      <c r="K755" s="22">
        <v>7</v>
      </c>
      <c r="L755" s="22" t="s">
        <v>82</v>
      </c>
      <c r="M755" s="22" t="s">
        <v>89</v>
      </c>
      <c r="N755" s="24">
        <v>482.98</v>
      </c>
      <c r="O755" s="22">
        <f>YEAR(B755)</f>
        <v>2024</v>
      </c>
      <c r="P755" s="25">
        <f>DATE(YEAR(B755),MONTH(B755),1)</f>
        <v>45383</v>
      </c>
      <c r="Q755" s="22" t="str">
        <f>IF(N755&gt;Summary!$C$17,"Outlier","")</f>
        <v/>
      </c>
      <c r="R755" s="22" t="str">
        <f>IF(L755="","None",L755)</f>
        <v>FREESHIP</v>
      </c>
    </row>
    <row r="756" spans="1:18" x14ac:dyDescent="0.2">
      <c r="A756" s="22" t="s">
        <v>2869</v>
      </c>
      <c r="B756" s="23">
        <v>45808</v>
      </c>
      <c r="C756" s="22" t="s">
        <v>2870</v>
      </c>
      <c r="D756" s="22" t="s">
        <v>62</v>
      </c>
      <c r="E756" s="22">
        <v>2</v>
      </c>
      <c r="F756" s="24">
        <v>452.05</v>
      </c>
      <c r="G756" s="22" t="s">
        <v>2871</v>
      </c>
      <c r="H756" s="22" t="s">
        <v>76</v>
      </c>
      <c r="I756" s="22" t="s">
        <v>72</v>
      </c>
      <c r="J756" s="22" t="s">
        <v>2872</v>
      </c>
      <c r="K756" s="22">
        <v>3</v>
      </c>
      <c r="L756" s="22" t="s">
        <v>84</v>
      </c>
      <c r="M756" s="22" t="s">
        <v>86</v>
      </c>
      <c r="N756" s="24">
        <v>904.1</v>
      </c>
      <c r="O756" s="22">
        <f>YEAR(B756)</f>
        <v>2025</v>
      </c>
      <c r="P756" s="25">
        <f>DATE(YEAR(B756),MONTH(B756),1)</f>
        <v>45778</v>
      </c>
      <c r="Q756" s="22" t="str">
        <f>IF(N756&gt;Summary!$C$17,"Outlier","")</f>
        <v/>
      </c>
      <c r="R756" s="22" t="str">
        <f>IF(L756="","None",L756)</f>
        <v>WINTER15</v>
      </c>
    </row>
    <row r="757" spans="1:18" x14ac:dyDescent="0.2">
      <c r="A757" s="22" t="s">
        <v>2873</v>
      </c>
      <c r="B757" s="23">
        <v>45090</v>
      </c>
      <c r="C757" s="22" t="s">
        <v>2874</v>
      </c>
      <c r="D757" s="22" t="s">
        <v>66</v>
      </c>
      <c r="E757" s="22">
        <v>3</v>
      </c>
      <c r="F757" s="24">
        <v>336.71</v>
      </c>
      <c r="G757" s="22" t="s">
        <v>2875</v>
      </c>
      <c r="H757" s="22" t="s">
        <v>76</v>
      </c>
      <c r="I757" s="22" t="s">
        <v>71</v>
      </c>
      <c r="J757" s="22" t="s">
        <v>2876</v>
      </c>
      <c r="K757" s="22">
        <v>4</v>
      </c>
      <c r="L757" s="22"/>
      <c r="M757" s="22" t="s">
        <v>86</v>
      </c>
      <c r="N757" s="24">
        <v>1010.13</v>
      </c>
      <c r="O757" s="22">
        <f>YEAR(B757)</f>
        <v>2023</v>
      </c>
      <c r="P757" s="25">
        <f>DATE(YEAR(B757),MONTH(B757),1)</f>
        <v>45078</v>
      </c>
      <c r="Q757" s="22" t="str">
        <f>IF(N757&gt;Summary!$C$17,"Outlier","")</f>
        <v/>
      </c>
      <c r="R757" s="22" t="str">
        <f>IF(L757="","None",L757)</f>
        <v>None</v>
      </c>
    </row>
    <row r="758" spans="1:18" x14ac:dyDescent="0.2">
      <c r="A758" s="22" t="s">
        <v>2877</v>
      </c>
      <c r="B758" s="23">
        <v>45470</v>
      </c>
      <c r="C758" s="22" t="s">
        <v>2878</v>
      </c>
      <c r="D758" s="22" t="s">
        <v>67</v>
      </c>
      <c r="E758" s="22">
        <v>1</v>
      </c>
      <c r="F758" s="24">
        <v>283.69</v>
      </c>
      <c r="G758" s="22" t="s">
        <v>347</v>
      </c>
      <c r="H758" s="22" t="s">
        <v>78</v>
      </c>
      <c r="I758" s="22" t="s">
        <v>70</v>
      </c>
      <c r="J758" s="22" t="s">
        <v>2879</v>
      </c>
      <c r="K758" s="22">
        <v>6</v>
      </c>
      <c r="L758" s="22"/>
      <c r="M758" s="22" t="s">
        <v>88</v>
      </c>
      <c r="N758" s="24">
        <v>283.69</v>
      </c>
      <c r="O758" s="22">
        <f>YEAR(B758)</f>
        <v>2024</v>
      </c>
      <c r="P758" s="25">
        <f>DATE(YEAR(B758),MONTH(B758),1)</f>
        <v>45444</v>
      </c>
      <c r="Q758" s="22" t="str">
        <f>IF(N758&gt;Summary!$C$17,"Outlier","")</f>
        <v/>
      </c>
      <c r="R758" s="22" t="str">
        <f>IF(L758="","None",L758)</f>
        <v>None</v>
      </c>
    </row>
    <row r="759" spans="1:18" x14ac:dyDescent="0.2">
      <c r="A759" s="22" t="s">
        <v>2880</v>
      </c>
      <c r="B759" s="23">
        <v>45344</v>
      </c>
      <c r="C759" s="22" t="s">
        <v>2881</v>
      </c>
      <c r="D759" s="22" t="s">
        <v>66</v>
      </c>
      <c r="E759" s="22">
        <v>1</v>
      </c>
      <c r="F759" s="24">
        <v>157.72</v>
      </c>
      <c r="G759" s="22" t="s">
        <v>856</v>
      </c>
      <c r="H759" s="22" t="s">
        <v>77</v>
      </c>
      <c r="I759" s="22" t="s">
        <v>69</v>
      </c>
      <c r="J759" s="22" t="s">
        <v>2882</v>
      </c>
      <c r="K759" s="22">
        <v>2</v>
      </c>
      <c r="L759" s="22" t="s">
        <v>82</v>
      </c>
      <c r="M759" s="22" t="s">
        <v>88</v>
      </c>
      <c r="N759" s="24">
        <v>157.72</v>
      </c>
      <c r="O759" s="22">
        <f>YEAR(B759)</f>
        <v>2024</v>
      </c>
      <c r="P759" s="25">
        <f>DATE(YEAR(B759),MONTH(B759),1)</f>
        <v>45323</v>
      </c>
      <c r="Q759" s="22" t="str">
        <f>IF(N759&gt;Summary!$C$17,"Outlier","")</f>
        <v/>
      </c>
      <c r="R759" s="22" t="str">
        <f>IF(L759="","None",L759)</f>
        <v>FREESHIP</v>
      </c>
    </row>
    <row r="760" spans="1:18" x14ac:dyDescent="0.2">
      <c r="A760" s="22" t="s">
        <v>2883</v>
      </c>
      <c r="B760" s="23">
        <v>45011</v>
      </c>
      <c r="C760" s="22" t="s">
        <v>2884</v>
      </c>
      <c r="D760" s="22" t="s">
        <v>64</v>
      </c>
      <c r="E760" s="22">
        <v>3</v>
      </c>
      <c r="F760" s="24">
        <v>624.84</v>
      </c>
      <c r="G760" s="22" t="s">
        <v>413</v>
      </c>
      <c r="H760" s="22" t="s">
        <v>76</v>
      </c>
      <c r="I760" s="22" t="s">
        <v>73</v>
      </c>
      <c r="J760" s="22" t="s">
        <v>2885</v>
      </c>
      <c r="K760" s="22">
        <v>8</v>
      </c>
      <c r="L760" s="22" t="s">
        <v>84</v>
      </c>
      <c r="M760" s="22" t="s">
        <v>87</v>
      </c>
      <c r="N760" s="24">
        <v>1874.52</v>
      </c>
      <c r="O760" s="22">
        <f>YEAR(B760)</f>
        <v>2023</v>
      </c>
      <c r="P760" s="25">
        <f>DATE(YEAR(B760),MONTH(B760),1)</f>
        <v>44986</v>
      </c>
      <c r="Q760" s="22" t="str">
        <f>IF(N760&gt;Summary!$C$17,"Outlier","")</f>
        <v/>
      </c>
      <c r="R760" s="22" t="str">
        <f>IF(L760="","None",L760)</f>
        <v>WINTER15</v>
      </c>
    </row>
    <row r="761" spans="1:18" x14ac:dyDescent="0.2">
      <c r="A761" s="22" t="s">
        <v>2886</v>
      </c>
      <c r="B761" s="23">
        <v>45131</v>
      </c>
      <c r="C761" s="22" t="s">
        <v>2887</v>
      </c>
      <c r="D761" s="22" t="s">
        <v>66</v>
      </c>
      <c r="E761" s="22">
        <v>3</v>
      </c>
      <c r="F761" s="24">
        <v>308.01</v>
      </c>
      <c r="G761" s="22" t="s">
        <v>2888</v>
      </c>
      <c r="H761" s="22" t="s">
        <v>75</v>
      </c>
      <c r="I761" s="22" t="s">
        <v>71</v>
      </c>
      <c r="J761" s="22" t="s">
        <v>2889</v>
      </c>
      <c r="K761" s="22">
        <v>3</v>
      </c>
      <c r="L761" s="22" t="s">
        <v>82</v>
      </c>
      <c r="M761" s="22" t="s">
        <v>87</v>
      </c>
      <c r="N761" s="24">
        <v>924.03</v>
      </c>
      <c r="O761" s="22">
        <f>YEAR(B761)</f>
        <v>2023</v>
      </c>
      <c r="P761" s="25">
        <f>DATE(YEAR(B761),MONTH(B761),1)</f>
        <v>45108</v>
      </c>
      <c r="Q761" s="22" t="str">
        <f>IF(N761&gt;Summary!$C$17,"Outlier","")</f>
        <v/>
      </c>
      <c r="R761" s="22" t="str">
        <f>IF(L761="","None",L761)</f>
        <v>FREESHIP</v>
      </c>
    </row>
    <row r="762" spans="1:18" x14ac:dyDescent="0.2">
      <c r="A762" s="22" t="s">
        <v>2890</v>
      </c>
      <c r="B762" s="23">
        <v>45706</v>
      </c>
      <c r="C762" s="22" t="s">
        <v>2891</v>
      </c>
      <c r="D762" s="22" t="s">
        <v>66</v>
      </c>
      <c r="E762" s="22">
        <v>1</v>
      </c>
      <c r="F762" s="24">
        <v>39.56</v>
      </c>
      <c r="G762" s="22" t="s">
        <v>812</v>
      </c>
      <c r="H762" s="22" t="s">
        <v>77</v>
      </c>
      <c r="I762" s="22" t="s">
        <v>73</v>
      </c>
      <c r="J762" s="22" t="s">
        <v>2892</v>
      </c>
      <c r="K762" s="22">
        <v>5</v>
      </c>
      <c r="L762" s="22"/>
      <c r="M762" s="22" t="s">
        <v>88</v>
      </c>
      <c r="N762" s="24">
        <v>39.56</v>
      </c>
      <c r="O762" s="22">
        <f>YEAR(B762)</f>
        <v>2025</v>
      </c>
      <c r="P762" s="25">
        <f>DATE(YEAR(B762),MONTH(B762),1)</f>
        <v>45689</v>
      </c>
      <c r="Q762" s="22" t="str">
        <f>IF(N762&gt;Summary!$C$17,"Outlier","")</f>
        <v/>
      </c>
      <c r="R762" s="22" t="str">
        <f>IF(L762="","None",L762)</f>
        <v>None</v>
      </c>
    </row>
    <row r="763" spans="1:18" x14ac:dyDescent="0.2">
      <c r="A763" s="22" t="s">
        <v>2893</v>
      </c>
      <c r="B763" s="23">
        <v>45079</v>
      </c>
      <c r="C763" s="22" t="s">
        <v>2894</v>
      </c>
      <c r="D763" s="22" t="s">
        <v>66</v>
      </c>
      <c r="E763" s="22">
        <v>4</v>
      </c>
      <c r="F763" s="24">
        <v>37.76</v>
      </c>
      <c r="G763" s="22" t="s">
        <v>2895</v>
      </c>
      <c r="H763" s="22" t="s">
        <v>77</v>
      </c>
      <c r="I763" s="22" t="s">
        <v>69</v>
      </c>
      <c r="J763" s="22" t="s">
        <v>2896</v>
      </c>
      <c r="K763" s="22">
        <v>7</v>
      </c>
      <c r="L763" s="22"/>
      <c r="M763" s="22" t="s">
        <v>88</v>
      </c>
      <c r="N763" s="24">
        <v>151.04</v>
      </c>
      <c r="O763" s="22">
        <f>YEAR(B763)</f>
        <v>2023</v>
      </c>
      <c r="P763" s="25">
        <f>DATE(YEAR(B763),MONTH(B763),1)</f>
        <v>45078</v>
      </c>
      <c r="Q763" s="22" t="str">
        <f>IF(N763&gt;Summary!$C$17,"Outlier","")</f>
        <v/>
      </c>
      <c r="R763" s="22" t="str">
        <f>IF(L763="","None",L763)</f>
        <v>None</v>
      </c>
    </row>
    <row r="764" spans="1:18" x14ac:dyDescent="0.2">
      <c r="A764" s="22" t="s">
        <v>2897</v>
      </c>
      <c r="B764" s="23">
        <v>45552</v>
      </c>
      <c r="C764" s="22" t="s">
        <v>2898</v>
      </c>
      <c r="D764" s="22" t="s">
        <v>67</v>
      </c>
      <c r="E764" s="22">
        <v>3</v>
      </c>
      <c r="F764" s="24">
        <v>76.959999999999994</v>
      </c>
      <c r="G764" s="22" t="s">
        <v>473</v>
      </c>
      <c r="H764" s="22" t="s">
        <v>75</v>
      </c>
      <c r="I764" s="22" t="s">
        <v>72</v>
      </c>
      <c r="J764" s="22" t="s">
        <v>2899</v>
      </c>
      <c r="K764" s="22">
        <v>8</v>
      </c>
      <c r="L764" s="22" t="s">
        <v>82</v>
      </c>
      <c r="M764" s="22" t="s">
        <v>86</v>
      </c>
      <c r="N764" s="24">
        <v>230.88</v>
      </c>
      <c r="O764" s="22">
        <f>YEAR(B764)</f>
        <v>2024</v>
      </c>
      <c r="P764" s="25">
        <f>DATE(YEAR(B764),MONTH(B764),1)</f>
        <v>45536</v>
      </c>
      <c r="Q764" s="22" t="str">
        <f>IF(N764&gt;Summary!$C$17,"Outlier","")</f>
        <v/>
      </c>
      <c r="R764" s="22" t="str">
        <f>IF(L764="","None",L764)</f>
        <v>FREESHIP</v>
      </c>
    </row>
    <row r="765" spans="1:18" x14ac:dyDescent="0.2">
      <c r="A765" s="22" t="s">
        <v>2900</v>
      </c>
      <c r="B765" s="23">
        <v>45022</v>
      </c>
      <c r="C765" s="22" t="s">
        <v>2901</v>
      </c>
      <c r="D765" s="22" t="s">
        <v>63</v>
      </c>
      <c r="E765" s="22">
        <v>1</v>
      </c>
      <c r="F765" s="24">
        <v>569.96</v>
      </c>
      <c r="G765" s="22" t="s">
        <v>504</v>
      </c>
      <c r="H765" s="22" t="s">
        <v>79</v>
      </c>
      <c r="I765" s="22" t="s">
        <v>69</v>
      </c>
      <c r="J765" s="22" t="s">
        <v>2902</v>
      </c>
      <c r="K765" s="22">
        <v>4</v>
      </c>
      <c r="L765" s="22" t="s">
        <v>82</v>
      </c>
      <c r="M765" s="22" t="s">
        <v>86</v>
      </c>
      <c r="N765" s="24">
        <v>569.96</v>
      </c>
      <c r="O765" s="22">
        <f>YEAR(B765)</f>
        <v>2023</v>
      </c>
      <c r="P765" s="25">
        <f>DATE(YEAR(B765),MONTH(B765),1)</f>
        <v>45017</v>
      </c>
      <c r="Q765" s="22" t="str">
        <f>IF(N765&gt;Summary!$C$17,"Outlier","")</f>
        <v/>
      </c>
      <c r="R765" s="22" t="str">
        <f>IF(L765="","None",L765)</f>
        <v>FREESHIP</v>
      </c>
    </row>
    <row r="766" spans="1:18" x14ac:dyDescent="0.2">
      <c r="A766" s="22" t="s">
        <v>2903</v>
      </c>
      <c r="B766" s="23">
        <v>45361</v>
      </c>
      <c r="C766" s="22" t="s">
        <v>2904</v>
      </c>
      <c r="D766" s="22" t="s">
        <v>63</v>
      </c>
      <c r="E766" s="22">
        <v>5</v>
      </c>
      <c r="F766" s="24">
        <v>627.42999999999995</v>
      </c>
      <c r="G766" s="22" t="s">
        <v>792</v>
      </c>
      <c r="H766" s="22" t="s">
        <v>76</v>
      </c>
      <c r="I766" s="22" t="s">
        <v>73</v>
      </c>
      <c r="J766" s="22" t="s">
        <v>2905</v>
      </c>
      <c r="K766" s="22">
        <v>10</v>
      </c>
      <c r="L766" s="22" t="s">
        <v>82</v>
      </c>
      <c r="M766" s="22" t="s">
        <v>86</v>
      </c>
      <c r="N766" s="24">
        <v>3137.15</v>
      </c>
      <c r="O766" s="22">
        <f>YEAR(B766)</f>
        <v>2024</v>
      </c>
      <c r="P766" s="25">
        <f>DATE(YEAR(B766),MONTH(B766),1)</f>
        <v>45352</v>
      </c>
      <c r="Q766" s="22" t="str">
        <f>IF(N766&gt;Summary!$C$17,"Outlier","")</f>
        <v/>
      </c>
      <c r="R766" s="22" t="str">
        <f>IF(L766="","None",L766)</f>
        <v>FREESHIP</v>
      </c>
    </row>
    <row r="767" spans="1:18" x14ac:dyDescent="0.2">
      <c r="A767" s="22" t="s">
        <v>2906</v>
      </c>
      <c r="B767" s="23">
        <v>45205</v>
      </c>
      <c r="C767" s="22" t="s">
        <v>2907</v>
      </c>
      <c r="D767" s="22" t="s">
        <v>63</v>
      </c>
      <c r="E767" s="22">
        <v>2</v>
      </c>
      <c r="F767" s="24">
        <v>534.91</v>
      </c>
      <c r="G767" s="22" t="s">
        <v>2734</v>
      </c>
      <c r="H767" s="22" t="s">
        <v>77</v>
      </c>
      <c r="I767" s="22" t="s">
        <v>72</v>
      </c>
      <c r="J767" s="22" t="s">
        <v>2908</v>
      </c>
      <c r="K767" s="22">
        <v>5</v>
      </c>
      <c r="L767" s="22" t="s">
        <v>83</v>
      </c>
      <c r="M767" s="22" t="s">
        <v>88</v>
      </c>
      <c r="N767" s="24">
        <v>1069.82</v>
      </c>
      <c r="O767" s="22">
        <f>YEAR(B767)</f>
        <v>2023</v>
      </c>
      <c r="P767" s="25">
        <f>DATE(YEAR(B767),MONTH(B767),1)</f>
        <v>45200</v>
      </c>
      <c r="Q767" s="22" t="str">
        <f>IF(N767&gt;Summary!$C$17,"Outlier","")</f>
        <v/>
      </c>
      <c r="R767" s="22" t="str">
        <f>IF(L767="","None",L767)</f>
        <v>SAVE10</v>
      </c>
    </row>
    <row r="768" spans="1:18" x14ac:dyDescent="0.2">
      <c r="A768" s="22" t="s">
        <v>2909</v>
      </c>
      <c r="B768" s="23">
        <v>44948</v>
      </c>
      <c r="C768" s="22" t="s">
        <v>2910</v>
      </c>
      <c r="D768" s="22" t="s">
        <v>62</v>
      </c>
      <c r="E768" s="22">
        <v>2</v>
      </c>
      <c r="F768" s="24">
        <v>278.88</v>
      </c>
      <c r="G768" s="22" t="s">
        <v>1463</v>
      </c>
      <c r="H768" s="22" t="s">
        <v>77</v>
      </c>
      <c r="I768" s="22" t="s">
        <v>71</v>
      </c>
      <c r="J768" s="22" t="s">
        <v>2911</v>
      </c>
      <c r="K768" s="22">
        <v>3</v>
      </c>
      <c r="L768" s="22" t="s">
        <v>82</v>
      </c>
      <c r="M768" s="22" t="s">
        <v>90</v>
      </c>
      <c r="N768" s="24">
        <v>557.76</v>
      </c>
      <c r="O768" s="22">
        <f>YEAR(B768)</f>
        <v>2023</v>
      </c>
      <c r="P768" s="25">
        <f>DATE(YEAR(B768),MONTH(B768),1)</f>
        <v>44927</v>
      </c>
      <c r="Q768" s="22" t="str">
        <f>IF(N768&gt;Summary!$C$17,"Outlier","")</f>
        <v/>
      </c>
      <c r="R768" s="22" t="str">
        <f>IF(L768="","None",L768)</f>
        <v>FREESHIP</v>
      </c>
    </row>
    <row r="769" spans="1:18" x14ac:dyDescent="0.2">
      <c r="A769" s="22" t="s">
        <v>2912</v>
      </c>
      <c r="B769" s="23">
        <v>45765</v>
      </c>
      <c r="C769" s="22" t="s">
        <v>2913</v>
      </c>
      <c r="D769" s="22" t="s">
        <v>64</v>
      </c>
      <c r="E769" s="22">
        <v>2</v>
      </c>
      <c r="F769" s="24">
        <v>323.22000000000003</v>
      </c>
      <c r="G769" s="22" t="s">
        <v>2914</v>
      </c>
      <c r="H769" s="22" t="s">
        <v>76</v>
      </c>
      <c r="I769" s="22" t="s">
        <v>69</v>
      </c>
      <c r="J769" s="22" t="s">
        <v>2915</v>
      </c>
      <c r="K769" s="22">
        <v>7</v>
      </c>
      <c r="L769" s="22"/>
      <c r="M769" s="22" t="s">
        <v>89</v>
      </c>
      <c r="N769" s="24">
        <v>646.44000000000005</v>
      </c>
      <c r="O769" s="22">
        <f>YEAR(B769)</f>
        <v>2025</v>
      </c>
      <c r="P769" s="25">
        <f>DATE(YEAR(B769),MONTH(B769),1)</f>
        <v>45748</v>
      </c>
      <c r="Q769" s="22" t="str">
        <f>IF(N769&gt;Summary!$C$17,"Outlier","")</f>
        <v/>
      </c>
      <c r="R769" s="22" t="str">
        <f>IF(L769="","None",L769)</f>
        <v>None</v>
      </c>
    </row>
    <row r="770" spans="1:18" x14ac:dyDescent="0.2">
      <c r="A770" s="22" t="s">
        <v>2916</v>
      </c>
      <c r="B770" s="23">
        <v>45173</v>
      </c>
      <c r="C770" s="22" t="s">
        <v>2917</v>
      </c>
      <c r="D770" s="22" t="s">
        <v>64</v>
      </c>
      <c r="E770" s="22">
        <v>5</v>
      </c>
      <c r="F770" s="24">
        <v>653.46</v>
      </c>
      <c r="G770" s="22" t="s">
        <v>2918</v>
      </c>
      <c r="H770" s="22" t="s">
        <v>75</v>
      </c>
      <c r="I770" s="22" t="s">
        <v>73</v>
      </c>
      <c r="J770" s="22" t="s">
        <v>2919</v>
      </c>
      <c r="K770" s="22">
        <v>9</v>
      </c>
      <c r="L770" s="22" t="s">
        <v>84</v>
      </c>
      <c r="M770" s="22" t="s">
        <v>86</v>
      </c>
      <c r="N770" s="24">
        <v>3267.3</v>
      </c>
      <c r="O770" s="22">
        <f>YEAR(B770)</f>
        <v>2023</v>
      </c>
      <c r="P770" s="25">
        <f>DATE(YEAR(B770),MONTH(B770),1)</f>
        <v>45170</v>
      </c>
      <c r="Q770" s="22" t="str">
        <f>IF(N770&gt;Summary!$C$17,"Outlier","")</f>
        <v/>
      </c>
      <c r="R770" s="22" t="str">
        <f>IF(L770="","None",L770)</f>
        <v>WINTER15</v>
      </c>
    </row>
    <row r="771" spans="1:18" x14ac:dyDescent="0.2">
      <c r="A771" s="22" t="s">
        <v>2920</v>
      </c>
      <c r="B771" s="23">
        <v>45113</v>
      </c>
      <c r="C771" s="22" t="s">
        <v>2921</v>
      </c>
      <c r="D771" s="22" t="s">
        <v>62</v>
      </c>
      <c r="E771" s="22">
        <v>4</v>
      </c>
      <c r="F771" s="24">
        <v>678.55</v>
      </c>
      <c r="G771" s="22" t="s">
        <v>231</v>
      </c>
      <c r="H771" s="22" t="s">
        <v>75</v>
      </c>
      <c r="I771" s="22" t="s">
        <v>69</v>
      </c>
      <c r="J771" s="22" t="s">
        <v>2922</v>
      </c>
      <c r="K771" s="22">
        <v>5</v>
      </c>
      <c r="L771" s="22"/>
      <c r="M771" s="22" t="s">
        <v>86</v>
      </c>
      <c r="N771" s="24">
        <v>2714.2</v>
      </c>
      <c r="O771" s="22">
        <f>YEAR(B771)</f>
        <v>2023</v>
      </c>
      <c r="P771" s="25">
        <f>DATE(YEAR(B771),MONTH(B771),1)</f>
        <v>45108</v>
      </c>
      <c r="Q771" s="22" t="str">
        <f>IF(N771&gt;Summary!$C$17,"Outlier","")</f>
        <v/>
      </c>
      <c r="R771" s="22" t="str">
        <f>IF(L771="","None",L771)</f>
        <v>None</v>
      </c>
    </row>
    <row r="772" spans="1:18" x14ac:dyDescent="0.2">
      <c r="A772" s="22" t="s">
        <v>2923</v>
      </c>
      <c r="B772" s="23">
        <v>45333</v>
      </c>
      <c r="C772" s="22" t="s">
        <v>2924</v>
      </c>
      <c r="D772" s="22" t="s">
        <v>66</v>
      </c>
      <c r="E772" s="22">
        <v>1</v>
      </c>
      <c r="F772" s="24">
        <v>314.38</v>
      </c>
      <c r="G772" s="22" t="s">
        <v>1798</v>
      </c>
      <c r="H772" s="22" t="s">
        <v>79</v>
      </c>
      <c r="I772" s="22" t="s">
        <v>72</v>
      </c>
      <c r="J772" s="22" t="s">
        <v>2925</v>
      </c>
      <c r="K772" s="22">
        <v>6</v>
      </c>
      <c r="L772" s="22"/>
      <c r="M772" s="22" t="s">
        <v>88</v>
      </c>
      <c r="N772" s="24">
        <v>314.38</v>
      </c>
      <c r="O772" s="22">
        <f>YEAR(B772)</f>
        <v>2024</v>
      </c>
      <c r="P772" s="25">
        <f>DATE(YEAR(B772),MONTH(B772),1)</f>
        <v>45323</v>
      </c>
      <c r="Q772" s="22" t="str">
        <f>IF(N772&gt;Summary!$C$17,"Outlier","")</f>
        <v/>
      </c>
      <c r="R772" s="22" t="str">
        <f>IF(L772="","None",L772)</f>
        <v>None</v>
      </c>
    </row>
    <row r="773" spans="1:18" x14ac:dyDescent="0.2">
      <c r="A773" s="22" t="s">
        <v>2926</v>
      </c>
      <c r="B773" s="23">
        <v>45455</v>
      </c>
      <c r="C773" s="22" t="s">
        <v>2927</v>
      </c>
      <c r="D773" s="22" t="s">
        <v>67</v>
      </c>
      <c r="E773" s="22">
        <v>3</v>
      </c>
      <c r="F773" s="24">
        <v>692.44</v>
      </c>
      <c r="G773" s="22" t="s">
        <v>1576</v>
      </c>
      <c r="H773" s="22" t="s">
        <v>77</v>
      </c>
      <c r="I773" s="22" t="s">
        <v>73</v>
      </c>
      <c r="J773" s="22" t="s">
        <v>2928</v>
      </c>
      <c r="K773" s="22">
        <v>8</v>
      </c>
      <c r="L773" s="22" t="s">
        <v>82</v>
      </c>
      <c r="M773" s="22" t="s">
        <v>88</v>
      </c>
      <c r="N773" s="24">
        <v>2077.3200000000002</v>
      </c>
      <c r="O773" s="22">
        <f>YEAR(B773)</f>
        <v>2024</v>
      </c>
      <c r="P773" s="25">
        <f>DATE(YEAR(B773),MONTH(B773),1)</f>
        <v>45444</v>
      </c>
      <c r="Q773" s="22" t="str">
        <f>IF(N773&gt;Summary!$C$17,"Outlier","")</f>
        <v/>
      </c>
      <c r="R773" s="22" t="str">
        <f>IF(L773="","None",L773)</f>
        <v>FREESHIP</v>
      </c>
    </row>
    <row r="774" spans="1:18" x14ac:dyDescent="0.2">
      <c r="A774" s="22" t="s">
        <v>2929</v>
      </c>
      <c r="B774" s="23">
        <v>45501</v>
      </c>
      <c r="C774" s="22" t="s">
        <v>2930</v>
      </c>
      <c r="D774" s="22" t="s">
        <v>65</v>
      </c>
      <c r="E774" s="22">
        <v>1</v>
      </c>
      <c r="F774" s="24">
        <v>604.87</v>
      </c>
      <c r="G774" s="22" t="s">
        <v>2931</v>
      </c>
      <c r="H774" s="22" t="s">
        <v>79</v>
      </c>
      <c r="I774" s="22" t="s">
        <v>69</v>
      </c>
      <c r="J774" s="22" t="s">
        <v>2932</v>
      </c>
      <c r="K774" s="22">
        <v>4</v>
      </c>
      <c r="L774" s="22"/>
      <c r="M774" s="22" t="s">
        <v>89</v>
      </c>
      <c r="N774" s="24">
        <v>604.87</v>
      </c>
      <c r="O774" s="22">
        <f>YEAR(B774)</f>
        <v>2024</v>
      </c>
      <c r="P774" s="25">
        <f>DATE(YEAR(B774),MONTH(B774),1)</f>
        <v>45474</v>
      </c>
      <c r="Q774" s="22" t="str">
        <f>IF(N774&gt;Summary!$C$17,"Outlier","")</f>
        <v/>
      </c>
      <c r="R774" s="22" t="str">
        <f>IF(L774="","None",L774)</f>
        <v>None</v>
      </c>
    </row>
    <row r="775" spans="1:18" x14ac:dyDescent="0.2">
      <c r="A775" s="22" t="s">
        <v>2933</v>
      </c>
      <c r="B775" s="23">
        <v>45836</v>
      </c>
      <c r="C775" s="22" t="s">
        <v>2934</v>
      </c>
      <c r="D775" s="22" t="s">
        <v>67</v>
      </c>
      <c r="E775" s="22">
        <v>2</v>
      </c>
      <c r="F775" s="24">
        <v>512.33000000000004</v>
      </c>
      <c r="G775" s="22" t="s">
        <v>2935</v>
      </c>
      <c r="H775" s="22" t="s">
        <v>75</v>
      </c>
      <c r="I775" s="22" t="s">
        <v>73</v>
      </c>
      <c r="J775" s="22" t="s">
        <v>2936</v>
      </c>
      <c r="K775" s="22">
        <v>7</v>
      </c>
      <c r="L775" s="22"/>
      <c r="M775" s="22" t="s">
        <v>87</v>
      </c>
      <c r="N775" s="24">
        <v>1024.6600000000001</v>
      </c>
      <c r="O775" s="22">
        <f>YEAR(B775)</f>
        <v>2025</v>
      </c>
      <c r="P775" s="25">
        <f>DATE(YEAR(B775),MONTH(B775),1)</f>
        <v>45809</v>
      </c>
      <c r="Q775" s="22" t="str">
        <f>IF(N775&gt;Summary!$C$17,"Outlier","")</f>
        <v/>
      </c>
      <c r="R775" s="22" t="str">
        <f>IF(L775="","None",L775)</f>
        <v>None</v>
      </c>
    </row>
    <row r="776" spans="1:18" x14ac:dyDescent="0.2">
      <c r="A776" s="22" t="s">
        <v>2937</v>
      </c>
      <c r="B776" s="23">
        <v>45762</v>
      </c>
      <c r="C776" s="22" t="s">
        <v>2938</v>
      </c>
      <c r="D776" s="22" t="s">
        <v>61</v>
      </c>
      <c r="E776" s="22">
        <v>3</v>
      </c>
      <c r="F776" s="24">
        <v>20.54</v>
      </c>
      <c r="G776" s="22" t="s">
        <v>2939</v>
      </c>
      <c r="H776" s="22" t="s">
        <v>76</v>
      </c>
      <c r="I776" s="22" t="s">
        <v>73</v>
      </c>
      <c r="J776" s="22" t="s">
        <v>2940</v>
      </c>
      <c r="K776" s="22">
        <v>3</v>
      </c>
      <c r="L776" s="22" t="s">
        <v>82</v>
      </c>
      <c r="M776" s="22" t="s">
        <v>89</v>
      </c>
      <c r="N776" s="24">
        <v>61.62</v>
      </c>
      <c r="O776" s="22">
        <f>YEAR(B776)</f>
        <v>2025</v>
      </c>
      <c r="P776" s="25">
        <f>DATE(YEAR(B776),MONTH(B776),1)</f>
        <v>45748</v>
      </c>
      <c r="Q776" s="22" t="str">
        <f>IF(N776&gt;Summary!$C$17,"Outlier","")</f>
        <v/>
      </c>
      <c r="R776" s="22" t="str">
        <f>IF(L776="","None",L776)</f>
        <v>FREESHIP</v>
      </c>
    </row>
    <row r="777" spans="1:18" x14ac:dyDescent="0.2">
      <c r="A777" s="22" t="s">
        <v>2941</v>
      </c>
      <c r="B777" s="23">
        <v>44989</v>
      </c>
      <c r="C777" s="22" t="s">
        <v>2942</v>
      </c>
      <c r="D777" s="22" t="s">
        <v>67</v>
      </c>
      <c r="E777" s="22">
        <v>2</v>
      </c>
      <c r="F777" s="24">
        <v>625.22</v>
      </c>
      <c r="G777" s="22" t="s">
        <v>203</v>
      </c>
      <c r="H777" s="22" t="s">
        <v>79</v>
      </c>
      <c r="I777" s="22" t="s">
        <v>73</v>
      </c>
      <c r="J777" s="22" t="s">
        <v>2943</v>
      </c>
      <c r="K777" s="22">
        <v>5</v>
      </c>
      <c r="L777" s="22"/>
      <c r="M777" s="22" t="s">
        <v>88</v>
      </c>
      <c r="N777" s="24">
        <v>1250.44</v>
      </c>
      <c r="O777" s="22">
        <f>YEAR(B777)</f>
        <v>2023</v>
      </c>
      <c r="P777" s="25">
        <f>DATE(YEAR(B777),MONTH(B777),1)</f>
        <v>44986</v>
      </c>
      <c r="Q777" s="22" t="str">
        <f>IF(N777&gt;Summary!$C$17,"Outlier","")</f>
        <v/>
      </c>
      <c r="R777" s="22" t="str">
        <f>IF(L777="","None",L777)</f>
        <v>None</v>
      </c>
    </row>
    <row r="778" spans="1:18" x14ac:dyDescent="0.2">
      <c r="A778" s="22" t="s">
        <v>2944</v>
      </c>
      <c r="B778" s="23">
        <v>45159</v>
      </c>
      <c r="C778" s="22" t="s">
        <v>2945</v>
      </c>
      <c r="D778" s="22" t="s">
        <v>64</v>
      </c>
      <c r="E778" s="22">
        <v>1</v>
      </c>
      <c r="F778" s="24">
        <v>21.19</v>
      </c>
      <c r="G778" s="22" t="s">
        <v>2946</v>
      </c>
      <c r="H778" s="22" t="s">
        <v>75</v>
      </c>
      <c r="I778" s="22" t="s">
        <v>72</v>
      </c>
      <c r="J778" s="22" t="s">
        <v>2947</v>
      </c>
      <c r="K778" s="22">
        <v>5</v>
      </c>
      <c r="L778" s="22" t="s">
        <v>84</v>
      </c>
      <c r="M778" s="22" t="s">
        <v>88</v>
      </c>
      <c r="N778" s="24">
        <v>21.19</v>
      </c>
      <c r="O778" s="22">
        <f>YEAR(B778)</f>
        <v>2023</v>
      </c>
      <c r="P778" s="25">
        <f>DATE(YEAR(B778),MONTH(B778),1)</f>
        <v>45139</v>
      </c>
      <c r="Q778" s="22" t="str">
        <f>IF(N778&gt;Summary!$C$17,"Outlier","")</f>
        <v/>
      </c>
      <c r="R778" s="22" t="str">
        <f>IF(L778="","None",L778)</f>
        <v>WINTER15</v>
      </c>
    </row>
    <row r="779" spans="1:18" x14ac:dyDescent="0.2">
      <c r="A779" s="22" t="s">
        <v>2948</v>
      </c>
      <c r="B779" s="23">
        <v>45737</v>
      </c>
      <c r="C779" s="22" t="s">
        <v>2949</v>
      </c>
      <c r="D779" s="22" t="s">
        <v>61</v>
      </c>
      <c r="E779" s="22">
        <v>5</v>
      </c>
      <c r="F779" s="24">
        <v>64.489999999999995</v>
      </c>
      <c r="G779" s="22" t="s">
        <v>207</v>
      </c>
      <c r="H779" s="22" t="s">
        <v>79</v>
      </c>
      <c r="I779" s="22" t="s">
        <v>73</v>
      </c>
      <c r="J779" s="22" t="s">
        <v>2950</v>
      </c>
      <c r="K779" s="22">
        <v>7</v>
      </c>
      <c r="L779" s="22"/>
      <c r="M779" s="22" t="s">
        <v>87</v>
      </c>
      <c r="N779" s="24">
        <v>322.45</v>
      </c>
      <c r="O779" s="22">
        <f>YEAR(B779)</f>
        <v>2025</v>
      </c>
      <c r="P779" s="25">
        <f>DATE(YEAR(B779),MONTH(B779),1)</f>
        <v>45717</v>
      </c>
      <c r="Q779" s="22" t="str">
        <f>IF(N779&gt;Summary!$C$17,"Outlier","")</f>
        <v/>
      </c>
      <c r="R779" s="22" t="str">
        <f>IF(L779="","None",L779)</f>
        <v>None</v>
      </c>
    </row>
    <row r="780" spans="1:18" x14ac:dyDescent="0.2">
      <c r="A780" s="22" t="s">
        <v>2951</v>
      </c>
      <c r="B780" s="23">
        <v>45044</v>
      </c>
      <c r="C780" s="22" t="s">
        <v>2952</v>
      </c>
      <c r="D780" s="22" t="s">
        <v>63</v>
      </c>
      <c r="E780" s="22">
        <v>4</v>
      </c>
      <c r="F780" s="24">
        <v>246.85</v>
      </c>
      <c r="G780" s="22" t="s">
        <v>2953</v>
      </c>
      <c r="H780" s="22" t="s">
        <v>76</v>
      </c>
      <c r="I780" s="22" t="s">
        <v>70</v>
      </c>
      <c r="J780" s="22" t="s">
        <v>2954</v>
      </c>
      <c r="K780" s="22">
        <v>8</v>
      </c>
      <c r="L780" s="22" t="s">
        <v>84</v>
      </c>
      <c r="M780" s="22" t="s">
        <v>88</v>
      </c>
      <c r="N780" s="24">
        <v>987.4</v>
      </c>
      <c r="O780" s="22">
        <f>YEAR(B780)</f>
        <v>2023</v>
      </c>
      <c r="P780" s="25">
        <f>DATE(YEAR(B780),MONTH(B780),1)</f>
        <v>45017</v>
      </c>
      <c r="Q780" s="22" t="str">
        <f>IF(N780&gt;Summary!$C$17,"Outlier","")</f>
        <v/>
      </c>
      <c r="R780" s="22" t="str">
        <f>IF(L780="","None",L780)</f>
        <v>WINTER15</v>
      </c>
    </row>
    <row r="781" spans="1:18" x14ac:dyDescent="0.2">
      <c r="A781" s="22" t="s">
        <v>2955</v>
      </c>
      <c r="B781" s="23">
        <v>45261</v>
      </c>
      <c r="C781" s="22" t="s">
        <v>2956</v>
      </c>
      <c r="D781" s="22" t="s">
        <v>67</v>
      </c>
      <c r="E781" s="22">
        <v>3</v>
      </c>
      <c r="F781" s="24">
        <v>588.74</v>
      </c>
      <c r="G781" s="22" t="s">
        <v>2957</v>
      </c>
      <c r="H781" s="22" t="s">
        <v>77</v>
      </c>
      <c r="I781" s="22" t="s">
        <v>71</v>
      </c>
      <c r="J781" s="22" t="s">
        <v>2958</v>
      </c>
      <c r="K781" s="22">
        <v>8</v>
      </c>
      <c r="L781" s="22" t="s">
        <v>82</v>
      </c>
      <c r="M781" s="22" t="s">
        <v>86</v>
      </c>
      <c r="N781" s="24">
        <v>1766.22</v>
      </c>
      <c r="O781" s="22">
        <f>YEAR(B781)</f>
        <v>2023</v>
      </c>
      <c r="P781" s="25">
        <f>DATE(YEAR(B781),MONTH(B781),1)</f>
        <v>45261</v>
      </c>
      <c r="Q781" s="22" t="str">
        <f>IF(N781&gt;Summary!$C$17,"Outlier","")</f>
        <v/>
      </c>
      <c r="R781" s="22" t="str">
        <f>IF(L781="","None",L781)</f>
        <v>FREESHIP</v>
      </c>
    </row>
    <row r="782" spans="1:18" x14ac:dyDescent="0.2">
      <c r="A782" s="22" t="s">
        <v>2959</v>
      </c>
      <c r="B782" s="23">
        <v>45382</v>
      </c>
      <c r="C782" s="22" t="s">
        <v>2960</v>
      </c>
      <c r="D782" s="22" t="s">
        <v>63</v>
      </c>
      <c r="E782" s="22">
        <v>4</v>
      </c>
      <c r="F782" s="24">
        <v>184.48</v>
      </c>
      <c r="G782" s="22" t="s">
        <v>1787</v>
      </c>
      <c r="H782" s="22" t="s">
        <v>79</v>
      </c>
      <c r="I782" s="22" t="s">
        <v>73</v>
      </c>
      <c r="J782" s="22" t="s">
        <v>2961</v>
      </c>
      <c r="K782" s="22">
        <v>4</v>
      </c>
      <c r="L782" s="22" t="s">
        <v>84</v>
      </c>
      <c r="M782" s="22" t="s">
        <v>88</v>
      </c>
      <c r="N782" s="24">
        <v>737.92</v>
      </c>
      <c r="O782" s="22">
        <f>YEAR(B782)</f>
        <v>2024</v>
      </c>
      <c r="P782" s="25">
        <f>DATE(YEAR(B782),MONTH(B782),1)</f>
        <v>45352</v>
      </c>
      <c r="Q782" s="22" t="str">
        <f>IF(N782&gt;Summary!$C$17,"Outlier","")</f>
        <v/>
      </c>
      <c r="R782" s="22" t="str">
        <f>IF(L782="","None",L782)</f>
        <v>WINTER15</v>
      </c>
    </row>
    <row r="783" spans="1:18" x14ac:dyDescent="0.2">
      <c r="A783" s="22" t="s">
        <v>2962</v>
      </c>
      <c r="B783" s="23">
        <v>45301</v>
      </c>
      <c r="C783" s="22" t="s">
        <v>2963</v>
      </c>
      <c r="D783" s="22" t="s">
        <v>67</v>
      </c>
      <c r="E783" s="22">
        <v>5</v>
      </c>
      <c r="F783" s="24">
        <v>524.26</v>
      </c>
      <c r="G783" s="22" t="s">
        <v>139</v>
      </c>
      <c r="H783" s="22" t="s">
        <v>78</v>
      </c>
      <c r="I783" s="22" t="s">
        <v>69</v>
      </c>
      <c r="J783" s="22" t="s">
        <v>2964</v>
      </c>
      <c r="K783" s="22">
        <v>5</v>
      </c>
      <c r="L783" s="22" t="s">
        <v>82</v>
      </c>
      <c r="M783" s="22" t="s">
        <v>90</v>
      </c>
      <c r="N783" s="24">
        <v>2621.3000000000002</v>
      </c>
      <c r="O783" s="22">
        <f>YEAR(B783)</f>
        <v>2024</v>
      </c>
      <c r="P783" s="25">
        <f>DATE(YEAR(B783),MONTH(B783),1)</f>
        <v>45292</v>
      </c>
      <c r="Q783" s="22" t="str">
        <f>IF(N783&gt;Summary!$C$17,"Outlier","")</f>
        <v/>
      </c>
      <c r="R783" s="22" t="str">
        <f>IF(L783="","None",L783)</f>
        <v>FREESHIP</v>
      </c>
    </row>
    <row r="784" spans="1:18" x14ac:dyDescent="0.2">
      <c r="A784" s="22" t="s">
        <v>2965</v>
      </c>
      <c r="B784" s="23">
        <v>45515</v>
      </c>
      <c r="C784" s="22" t="s">
        <v>2966</v>
      </c>
      <c r="D784" s="22" t="s">
        <v>65</v>
      </c>
      <c r="E784" s="22">
        <v>2</v>
      </c>
      <c r="F784" s="24">
        <v>493.63</v>
      </c>
      <c r="G784" s="22" t="s">
        <v>2227</v>
      </c>
      <c r="H784" s="22" t="s">
        <v>79</v>
      </c>
      <c r="I784" s="22" t="s">
        <v>72</v>
      </c>
      <c r="J784" s="22" t="s">
        <v>2967</v>
      </c>
      <c r="K784" s="22">
        <v>6</v>
      </c>
      <c r="L784" s="22" t="s">
        <v>83</v>
      </c>
      <c r="M784" s="22" t="s">
        <v>90</v>
      </c>
      <c r="N784" s="24">
        <v>987.26</v>
      </c>
      <c r="O784" s="22">
        <f>YEAR(B784)</f>
        <v>2024</v>
      </c>
      <c r="P784" s="25">
        <f>DATE(YEAR(B784),MONTH(B784),1)</f>
        <v>45505</v>
      </c>
      <c r="Q784" s="22" t="str">
        <f>IF(N784&gt;Summary!$C$17,"Outlier","")</f>
        <v/>
      </c>
      <c r="R784" s="22" t="str">
        <f>IF(L784="","None",L784)</f>
        <v>SAVE10</v>
      </c>
    </row>
    <row r="785" spans="1:18" x14ac:dyDescent="0.2">
      <c r="A785" s="22" t="s">
        <v>2968</v>
      </c>
      <c r="B785" s="23">
        <v>45803</v>
      </c>
      <c r="C785" s="22" t="s">
        <v>2969</v>
      </c>
      <c r="D785" s="22" t="s">
        <v>62</v>
      </c>
      <c r="E785" s="22">
        <v>1</v>
      </c>
      <c r="F785" s="24">
        <v>438.34</v>
      </c>
      <c r="G785" s="22" t="s">
        <v>2734</v>
      </c>
      <c r="H785" s="22" t="s">
        <v>78</v>
      </c>
      <c r="I785" s="22" t="s">
        <v>72</v>
      </c>
      <c r="J785" s="22" t="s">
        <v>2970</v>
      </c>
      <c r="K785" s="22">
        <v>5</v>
      </c>
      <c r="L785" s="22" t="s">
        <v>82</v>
      </c>
      <c r="M785" s="22" t="s">
        <v>87</v>
      </c>
      <c r="N785" s="24">
        <v>438.34</v>
      </c>
      <c r="O785" s="22">
        <f>YEAR(B785)</f>
        <v>2025</v>
      </c>
      <c r="P785" s="25">
        <f>DATE(YEAR(B785),MONTH(B785),1)</f>
        <v>45778</v>
      </c>
      <c r="Q785" s="22" t="str">
        <f>IF(N785&gt;Summary!$C$17,"Outlier","")</f>
        <v/>
      </c>
      <c r="R785" s="22" t="str">
        <f>IF(L785="","None",L785)</f>
        <v>FREESHIP</v>
      </c>
    </row>
    <row r="786" spans="1:18" x14ac:dyDescent="0.2">
      <c r="A786" s="22" t="s">
        <v>2971</v>
      </c>
      <c r="B786" s="23">
        <v>45793</v>
      </c>
      <c r="C786" s="22" t="s">
        <v>2972</v>
      </c>
      <c r="D786" s="22" t="s">
        <v>63</v>
      </c>
      <c r="E786" s="22">
        <v>1</v>
      </c>
      <c r="F786" s="24">
        <v>325.81</v>
      </c>
      <c r="G786" s="22" t="s">
        <v>324</v>
      </c>
      <c r="H786" s="22" t="s">
        <v>76</v>
      </c>
      <c r="I786" s="22" t="s">
        <v>71</v>
      </c>
      <c r="J786" s="22" t="s">
        <v>2973</v>
      </c>
      <c r="K786" s="22">
        <v>1</v>
      </c>
      <c r="L786" s="22" t="s">
        <v>84</v>
      </c>
      <c r="M786" s="22" t="s">
        <v>90</v>
      </c>
      <c r="N786" s="24">
        <v>325.81</v>
      </c>
      <c r="O786" s="22">
        <f>YEAR(B786)</f>
        <v>2025</v>
      </c>
      <c r="P786" s="25">
        <f>DATE(YEAR(B786),MONTH(B786),1)</f>
        <v>45778</v>
      </c>
      <c r="Q786" s="22" t="str">
        <f>IF(N786&gt;Summary!$C$17,"Outlier","")</f>
        <v/>
      </c>
      <c r="R786" s="22" t="str">
        <f>IF(L786="","None",L786)</f>
        <v>WINTER15</v>
      </c>
    </row>
    <row r="787" spans="1:18" x14ac:dyDescent="0.2">
      <c r="A787" s="22" t="s">
        <v>2974</v>
      </c>
      <c r="B787" s="23">
        <v>45136</v>
      </c>
      <c r="C787" s="22" t="s">
        <v>2975</v>
      </c>
      <c r="D787" s="22" t="s">
        <v>61</v>
      </c>
      <c r="E787" s="22">
        <v>1</v>
      </c>
      <c r="F787" s="24">
        <v>176.1</v>
      </c>
      <c r="G787" s="22" t="s">
        <v>2976</v>
      </c>
      <c r="H787" s="22" t="s">
        <v>76</v>
      </c>
      <c r="I787" s="22" t="s">
        <v>71</v>
      </c>
      <c r="J787" s="22" t="s">
        <v>2977</v>
      </c>
      <c r="K787" s="22">
        <v>1</v>
      </c>
      <c r="L787" s="22" t="s">
        <v>83</v>
      </c>
      <c r="M787" s="22" t="s">
        <v>89</v>
      </c>
      <c r="N787" s="24">
        <v>176.1</v>
      </c>
      <c r="O787" s="22">
        <f>YEAR(B787)</f>
        <v>2023</v>
      </c>
      <c r="P787" s="25">
        <f>DATE(YEAR(B787),MONTH(B787),1)</f>
        <v>45108</v>
      </c>
      <c r="Q787" s="22" t="str">
        <f>IF(N787&gt;Summary!$C$17,"Outlier","")</f>
        <v/>
      </c>
      <c r="R787" s="22" t="str">
        <f>IF(L787="","None",L787)</f>
        <v>SAVE10</v>
      </c>
    </row>
    <row r="788" spans="1:18" x14ac:dyDescent="0.2">
      <c r="A788" s="22" t="s">
        <v>2978</v>
      </c>
      <c r="B788" s="23">
        <v>45161</v>
      </c>
      <c r="C788" s="22" t="s">
        <v>2979</v>
      </c>
      <c r="D788" s="22" t="s">
        <v>61</v>
      </c>
      <c r="E788" s="22">
        <v>5</v>
      </c>
      <c r="F788" s="24">
        <v>45.31</v>
      </c>
      <c r="G788" s="22" t="s">
        <v>2980</v>
      </c>
      <c r="H788" s="22" t="s">
        <v>79</v>
      </c>
      <c r="I788" s="22" t="s">
        <v>73</v>
      </c>
      <c r="J788" s="22" t="s">
        <v>2981</v>
      </c>
      <c r="K788" s="22">
        <v>8</v>
      </c>
      <c r="L788" s="22"/>
      <c r="M788" s="22" t="s">
        <v>90</v>
      </c>
      <c r="N788" s="24">
        <v>226.55</v>
      </c>
      <c r="O788" s="22">
        <f>YEAR(B788)</f>
        <v>2023</v>
      </c>
      <c r="P788" s="25">
        <f>DATE(YEAR(B788),MONTH(B788),1)</f>
        <v>45139</v>
      </c>
      <c r="Q788" s="22" t="str">
        <f>IF(N788&gt;Summary!$C$17,"Outlier","")</f>
        <v/>
      </c>
      <c r="R788" s="22" t="str">
        <f>IF(L788="","None",L788)</f>
        <v>None</v>
      </c>
    </row>
    <row r="789" spans="1:18" x14ac:dyDescent="0.2">
      <c r="A789" s="22" t="s">
        <v>2982</v>
      </c>
      <c r="B789" s="23">
        <v>45368</v>
      </c>
      <c r="C789" s="22" t="s">
        <v>2983</v>
      </c>
      <c r="D789" s="22" t="s">
        <v>66</v>
      </c>
      <c r="E789" s="22">
        <v>4</v>
      </c>
      <c r="F789" s="24">
        <v>221.96</v>
      </c>
      <c r="G789" s="22" t="s">
        <v>2984</v>
      </c>
      <c r="H789" s="22" t="s">
        <v>75</v>
      </c>
      <c r="I789" s="22" t="s">
        <v>69</v>
      </c>
      <c r="J789" s="22" t="s">
        <v>2985</v>
      </c>
      <c r="K789" s="22">
        <v>7</v>
      </c>
      <c r="L789" s="22"/>
      <c r="M789" s="22" t="s">
        <v>88</v>
      </c>
      <c r="N789" s="24">
        <v>887.84</v>
      </c>
      <c r="O789" s="22">
        <f>YEAR(B789)</f>
        <v>2024</v>
      </c>
      <c r="P789" s="25">
        <f>DATE(YEAR(B789),MONTH(B789),1)</f>
        <v>45352</v>
      </c>
      <c r="Q789" s="22" t="str">
        <f>IF(N789&gt;Summary!$C$17,"Outlier","")</f>
        <v/>
      </c>
      <c r="R789" s="22" t="str">
        <f>IF(L789="","None",L789)</f>
        <v>None</v>
      </c>
    </row>
    <row r="790" spans="1:18" x14ac:dyDescent="0.2">
      <c r="A790" s="22" t="s">
        <v>2986</v>
      </c>
      <c r="B790" s="23">
        <v>45232</v>
      </c>
      <c r="C790" s="22" t="s">
        <v>2987</v>
      </c>
      <c r="D790" s="22" t="s">
        <v>61</v>
      </c>
      <c r="E790" s="22">
        <v>2</v>
      </c>
      <c r="F790" s="24">
        <v>601.42999999999995</v>
      </c>
      <c r="G790" s="22" t="s">
        <v>2988</v>
      </c>
      <c r="H790" s="22" t="s">
        <v>79</v>
      </c>
      <c r="I790" s="22" t="s">
        <v>71</v>
      </c>
      <c r="J790" s="22" t="s">
        <v>2989</v>
      </c>
      <c r="K790" s="22">
        <v>5</v>
      </c>
      <c r="L790" s="22" t="s">
        <v>82</v>
      </c>
      <c r="M790" s="22" t="s">
        <v>89</v>
      </c>
      <c r="N790" s="24">
        <v>1202.8599999999999</v>
      </c>
      <c r="O790" s="22">
        <f>YEAR(B790)</f>
        <v>2023</v>
      </c>
      <c r="P790" s="25">
        <f>DATE(YEAR(B790),MONTH(B790),1)</f>
        <v>45231</v>
      </c>
      <c r="Q790" s="22" t="str">
        <f>IF(N790&gt;Summary!$C$17,"Outlier","")</f>
        <v/>
      </c>
      <c r="R790" s="22" t="str">
        <f>IF(L790="","None",L790)</f>
        <v>FREESHIP</v>
      </c>
    </row>
    <row r="791" spans="1:18" x14ac:dyDescent="0.2">
      <c r="A791" s="22" t="s">
        <v>95</v>
      </c>
      <c r="B791" s="23">
        <v>45155</v>
      </c>
      <c r="C791" s="22" t="s">
        <v>2990</v>
      </c>
      <c r="D791" s="22" t="s">
        <v>64</v>
      </c>
      <c r="E791" s="22">
        <v>5</v>
      </c>
      <c r="F791" s="24">
        <v>691.28</v>
      </c>
      <c r="G791" s="22" t="s">
        <v>2991</v>
      </c>
      <c r="H791" s="22" t="s">
        <v>79</v>
      </c>
      <c r="I791" s="22" t="s">
        <v>69</v>
      </c>
      <c r="J791" s="22" t="s">
        <v>2992</v>
      </c>
      <c r="K791" s="22">
        <v>10</v>
      </c>
      <c r="L791" s="22" t="s">
        <v>83</v>
      </c>
      <c r="M791" s="22" t="s">
        <v>86</v>
      </c>
      <c r="N791" s="24">
        <v>3456.4</v>
      </c>
      <c r="O791" s="22">
        <f>YEAR(B791)</f>
        <v>2023</v>
      </c>
      <c r="P791" s="25">
        <f>DATE(YEAR(B791),MONTH(B791),1)</f>
        <v>45139</v>
      </c>
      <c r="Q791" s="22" t="str">
        <f>IF(N791&gt;Summary!$C$17,"Outlier","")</f>
        <v>Outlier</v>
      </c>
      <c r="R791" s="22" t="str">
        <f>IF(L791="","None",L791)</f>
        <v>SAVE10</v>
      </c>
    </row>
    <row r="792" spans="1:18" x14ac:dyDescent="0.2">
      <c r="A792" s="22" t="s">
        <v>2993</v>
      </c>
      <c r="B792" s="23">
        <v>45549</v>
      </c>
      <c r="C792" s="22" t="s">
        <v>2994</v>
      </c>
      <c r="D792" s="22" t="s">
        <v>63</v>
      </c>
      <c r="E792" s="22">
        <v>4</v>
      </c>
      <c r="F792" s="24">
        <v>417.89</v>
      </c>
      <c r="G792" s="22" t="s">
        <v>2995</v>
      </c>
      <c r="H792" s="22" t="s">
        <v>78</v>
      </c>
      <c r="I792" s="22" t="s">
        <v>71</v>
      </c>
      <c r="J792" s="22" t="s">
        <v>2996</v>
      </c>
      <c r="K792" s="22">
        <v>4</v>
      </c>
      <c r="L792" s="22"/>
      <c r="M792" s="22" t="s">
        <v>88</v>
      </c>
      <c r="N792" s="24">
        <v>1671.56</v>
      </c>
      <c r="O792" s="22">
        <f>YEAR(B792)</f>
        <v>2024</v>
      </c>
      <c r="P792" s="25">
        <f>DATE(YEAR(B792),MONTH(B792),1)</f>
        <v>45536</v>
      </c>
      <c r="Q792" s="22" t="str">
        <f>IF(N792&gt;Summary!$C$17,"Outlier","")</f>
        <v/>
      </c>
      <c r="R792" s="22" t="str">
        <f>IF(L792="","None",L792)</f>
        <v>None</v>
      </c>
    </row>
    <row r="793" spans="1:18" x14ac:dyDescent="0.2">
      <c r="A793" s="22" t="s">
        <v>2997</v>
      </c>
      <c r="B793" s="23">
        <v>45304</v>
      </c>
      <c r="C793" s="22" t="s">
        <v>2998</v>
      </c>
      <c r="D793" s="22" t="s">
        <v>61</v>
      </c>
      <c r="E793" s="22">
        <v>4</v>
      </c>
      <c r="F793" s="24">
        <v>409.28</v>
      </c>
      <c r="G793" s="22" t="s">
        <v>215</v>
      </c>
      <c r="H793" s="22" t="s">
        <v>75</v>
      </c>
      <c r="I793" s="22" t="s">
        <v>71</v>
      </c>
      <c r="J793" s="22" t="s">
        <v>2999</v>
      </c>
      <c r="K793" s="22">
        <v>8</v>
      </c>
      <c r="L793" s="22"/>
      <c r="M793" s="22" t="s">
        <v>86</v>
      </c>
      <c r="N793" s="24">
        <v>1637.12</v>
      </c>
      <c r="O793" s="22">
        <f>YEAR(B793)</f>
        <v>2024</v>
      </c>
      <c r="P793" s="25">
        <f>DATE(YEAR(B793),MONTH(B793),1)</f>
        <v>45292</v>
      </c>
      <c r="Q793" s="22" t="str">
        <f>IF(N793&gt;Summary!$C$17,"Outlier","")</f>
        <v/>
      </c>
      <c r="R793" s="22" t="str">
        <f>IF(L793="","None",L793)</f>
        <v>None</v>
      </c>
    </row>
    <row r="794" spans="1:18" x14ac:dyDescent="0.2">
      <c r="A794" s="22" t="s">
        <v>3000</v>
      </c>
      <c r="B794" s="23">
        <v>45093</v>
      </c>
      <c r="C794" s="22" t="s">
        <v>3001</v>
      </c>
      <c r="D794" s="22" t="s">
        <v>66</v>
      </c>
      <c r="E794" s="22">
        <v>2</v>
      </c>
      <c r="F794" s="24">
        <v>356.35</v>
      </c>
      <c r="G794" s="22" t="s">
        <v>3002</v>
      </c>
      <c r="H794" s="22" t="s">
        <v>77</v>
      </c>
      <c r="I794" s="22" t="s">
        <v>72</v>
      </c>
      <c r="J794" s="22" t="s">
        <v>3003</v>
      </c>
      <c r="K794" s="22">
        <v>6</v>
      </c>
      <c r="L794" s="22" t="s">
        <v>84</v>
      </c>
      <c r="M794" s="22" t="s">
        <v>87</v>
      </c>
      <c r="N794" s="24">
        <v>712.7</v>
      </c>
      <c r="O794" s="22">
        <f>YEAR(B794)</f>
        <v>2023</v>
      </c>
      <c r="P794" s="25">
        <f>DATE(YEAR(B794),MONTH(B794),1)</f>
        <v>45078</v>
      </c>
      <c r="Q794" s="22" t="str">
        <f>IF(N794&gt;Summary!$C$17,"Outlier","")</f>
        <v/>
      </c>
      <c r="R794" s="22" t="str">
        <f>IF(L794="","None",L794)</f>
        <v>WINTER15</v>
      </c>
    </row>
    <row r="795" spans="1:18" x14ac:dyDescent="0.2">
      <c r="A795" s="22" t="s">
        <v>3004</v>
      </c>
      <c r="B795" s="23">
        <v>45397</v>
      </c>
      <c r="C795" s="22" t="s">
        <v>3005</v>
      </c>
      <c r="D795" s="22" t="s">
        <v>61</v>
      </c>
      <c r="E795" s="22">
        <v>5</v>
      </c>
      <c r="F795" s="24">
        <v>170.22</v>
      </c>
      <c r="G795" s="22" t="s">
        <v>1714</v>
      </c>
      <c r="H795" s="22" t="s">
        <v>77</v>
      </c>
      <c r="I795" s="22" t="s">
        <v>69</v>
      </c>
      <c r="J795" s="22" t="s">
        <v>3006</v>
      </c>
      <c r="K795" s="22">
        <v>8</v>
      </c>
      <c r="L795" s="22"/>
      <c r="M795" s="22" t="s">
        <v>90</v>
      </c>
      <c r="N795" s="24">
        <v>851.1</v>
      </c>
      <c r="O795" s="22">
        <f>YEAR(B795)</f>
        <v>2024</v>
      </c>
      <c r="P795" s="25">
        <f>DATE(YEAR(B795),MONTH(B795),1)</f>
        <v>45383</v>
      </c>
      <c r="Q795" s="22" t="str">
        <f>IF(N795&gt;Summary!$C$17,"Outlier","")</f>
        <v/>
      </c>
      <c r="R795" s="22" t="str">
        <f>IF(L795="","None",L795)</f>
        <v>None</v>
      </c>
    </row>
    <row r="796" spans="1:18" x14ac:dyDescent="0.2">
      <c r="A796" s="22" t="s">
        <v>3007</v>
      </c>
      <c r="B796" s="23">
        <v>44994</v>
      </c>
      <c r="C796" s="22" t="s">
        <v>3008</v>
      </c>
      <c r="D796" s="22" t="s">
        <v>62</v>
      </c>
      <c r="E796" s="22">
        <v>4</v>
      </c>
      <c r="F796" s="24">
        <v>384.85</v>
      </c>
      <c r="G796" s="22" t="s">
        <v>3009</v>
      </c>
      <c r="H796" s="22" t="s">
        <v>79</v>
      </c>
      <c r="I796" s="22" t="s">
        <v>69</v>
      </c>
      <c r="J796" s="22" t="s">
        <v>3010</v>
      </c>
      <c r="K796" s="22">
        <v>9</v>
      </c>
      <c r="L796" s="22" t="s">
        <v>82</v>
      </c>
      <c r="M796" s="22" t="s">
        <v>89</v>
      </c>
      <c r="N796" s="24">
        <v>1539.4</v>
      </c>
      <c r="O796" s="22">
        <f>YEAR(B796)</f>
        <v>2023</v>
      </c>
      <c r="P796" s="25">
        <f>DATE(YEAR(B796),MONTH(B796),1)</f>
        <v>44986</v>
      </c>
      <c r="Q796" s="22" t="str">
        <f>IF(N796&gt;Summary!$C$17,"Outlier","")</f>
        <v/>
      </c>
      <c r="R796" s="22" t="str">
        <f>IF(L796="","None",L796)</f>
        <v>FREESHIP</v>
      </c>
    </row>
    <row r="797" spans="1:18" x14ac:dyDescent="0.2">
      <c r="A797" s="22" t="s">
        <v>3011</v>
      </c>
      <c r="B797" s="23">
        <v>45616</v>
      </c>
      <c r="C797" s="22" t="s">
        <v>3012</v>
      </c>
      <c r="D797" s="22" t="s">
        <v>63</v>
      </c>
      <c r="E797" s="22">
        <v>4</v>
      </c>
      <c r="F797" s="24">
        <v>115.77</v>
      </c>
      <c r="G797" s="22" t="s">
        <v>3013</v>
      </c>
      <c r="H797" s="22" t="s">
        <v>79</v>
      </c>
      <c r="I797" s="22" t="s">
        <v>71</v>
      </c>
      <c r="J797" s="22" t="s">
        <v>3014</v>
      </c>
      <c r="K797" s="22">
        <v>7</v>
      </c>
      <c r="L797" s="22" t="s">
        <v>83</v>
      </c>
      <c r="M797" s="22" t="s">
        <v>89</v>
      </c>
      <c r="N797" s="24">
        <v>463.08</v>
      </c>
      <c r="O797" s="22">
        <f>YEAR(B797)</f>
        <v>2024</v>
      </c>
      <c r="P797" s="25">
        <f>DATE(YEAR(B797),MONTH(B797),1)</f>
        <v>45597</v>
      </c>
      <c r="Q797" s="22" t="str">
        <f>IF(N797&gt;Summary!$C$17,"Outlier","")</f>
        <v/>
      </c>
      <c r="R797" s="22" t="str">
        <f>IF(L797="","None",L797)</f>
        <v>SAVE10</v>
      </c>
    </row>
    <row r="798" spans="1:18" x14ac:dyDescent="0.2">
      <c r="A798" s="22" t="s">
        <v>3015</v>
      </c>
      <c r="B798" s="23">
        <v>45776</v>
      </c>
      <c r="C798" s="22" t="s">
        <v>3016</v>
      </c>
      <c r="D798" s="22" t="s">
        <v>67</v>
      </c>
      <c r="E798" s="22">
        <v>3</v>
      </c>
      <c r="F798" s="24">
        <v>579.54999999999995</v>
      </c>
      <c r="G798" s="22" t="s">
        <v>961</v>
      </c>
      <c r="H798" s="22" t="s">
        <v>78</v>
      </c>
      <c r="I798" s="22" t="s">
        <v>72</v>
      </c>
      <c r="J798" s="22" t="s">
        <v>3017</v>
      </c>
      <c r="K798" s="22">
        <v>8</v>
      </c>
      <c r="L798" s="22" t="s">
        <v>84</v>
      </c>
      <c r="M798" s="22" t="s">
        <v>87</v>
      </c>
      <c r="N798" s="24">
        <v>1738.65</v>
      </c>
      <c r="O798" s="22">
        <f>YEAR(B798)</f>
        <v>2025</v>
      </c>
      <c r="P798" s="25">
        <f>DATE(YEAR(B798),MONTH(B798),1)</f>
        <v>45748</v>
      </c>
      <c r="Q798" s="22" t="str">
        <f>IF(N798&gt;Summary!$C$17,"Outlier","")</f>
        <v/>
      </c>
      <c r="R798" s="22" t="str">
        <f>IF(L798="","None",L798)</f>
        <v>WINTER15</v>
      </c>
    </row>
    <row r="799" spans="1:18" x14ac:dyDescent="0.2">
      <c r="A799" s="22" t="s">
        <v>3018</v>
      </c>
      <c r="B799" s="23">
        <v>44984</v>
      </c>
      <c r="C799" s="22" t="s">
        <v>3019</v>
      </c>
      <c r="D799" s="22" t="s">
        <v>63</v>
      </c>
      <c r="E799" s="22">
        <v>2</v>
      </c>
      <c r="F799" s="24">
        <v>438.76</v>
      </c>
      <c r="G799" s="22" t="s">
        <v>3020</v>
      </c>
      <c r="H799" s="22" t="s">
        <v>77</v>
      </c>
      <c r="I799" s="22" t="s">
        <v>72</v>
      </c>
      <c r="J799" s="22" t="s">
        <v>3021</v>
      </c>
      <c r="K799" s="22">
        <v>2</v>
      </c>
      <c r="L799" s="22"/>
      <c r="M799" s="22" t="s">
        <v>87</v>
      </c>
      <c r="N799" s="24">
        <v>877.52</v>
      </c>
      <c r="O799" s="22">
        <f>YEAR(B799)</f>
        <v>2023</v>
      </c>
      <c r="P799" s="25">
        <f>DATE(YEAR(B799),MONTH(B799),1)</f>
        <v>44958</v>
      </c>
      <c r="Q799" s="22" t="str">
        <f>IF(N799&gt;Summary!$C$17,"Outlier","")</f>
        <v/>
      </c>
      <c r="R799" s="22" t="str">
        <f>IF(L799="","None",L799)</f>
        <v>None</v>
      </c>
    </row>
    <row r="800" spans="1:18" x14ac:dyDescent="0.2">
      <c r="A800" s="22" t="s">
        <v>3022</v>
      </c>
      <c r="B800" s="23">
        <v>45796</v>
      </c>
      <c r="C800" s="22" t="s">
        <v>3023</v>
      </c>
      <c r="D800" s="22" t="s">
        <v>67</v>
      </c>
      <c r="E800" s="22">
        <v>5</v>
      </c>
      <c r="F800" s="24">
        <v>488.35</v>
      </c>
      <c r="G800" s="22" t="s">
        <v>1310</v>
      </c>
      <c r="H800" s="22" t="s">
        <v>77</v>
      </c>
      <c r="I800" s="22" t="s">
        <v>72</v>
      </c>
      <c r="J800" s="22" t="s">
        <v>3024</v>
      </c>
      <c r="K800" s="22">
        <v>9</v>
      </c>
      <c r="L800" s="22" t="s">
        <v>82</v>
      </c>
      <c r="M800" s="22" t="s">
        <v>86</v>
      </c>
      <c r="N800" s="24">
        <v>2441.75</v>
      </c>
      <c r="O800" s="22">
        <f>YEAR(B800)</f>
        <v>2025</v>
      </c>
      <c r="P800" s="25">
        <f>DATE(YEAR(B800),MONTH(B800),1)</f>
        <v>45778</v>
      </c>
      <c r="Q800" s="22" t="str">
        <f>IF(N800&gt;Summary!$C$17,"Outlier","")</f>
        <v/>
      </c>
      <c r="R800" s="22" t="str">
        <f>IF(L800="","None",L800)</f>
        <v>FREESHIP</v>
      </c>
    </row>
    <row r="801" spans="1:18" x14ac:dyDescent="0.2">
      <c r="A801" s="22" t="s">
        <v>3025</v>
      </c>
      <c r="B801" s="23">
        <v>45032</v>
      </c>
      <c r="C801" s="22" t="s">
        <v>3026</v>
      </c>
      <c r="D801" s="22" t="s">
        <v>63</v>
      </c>
      <c r="E801" s="22">
        <v>4</v>
      </c>
      <c r="F801" s="24">
        <v>328.56</v>
      </c>
      <c r="G801" s="22" t="s">
        <v>1147</v>
      </c>
      <c r="H801" s="22" t="s">
        <v>77</v>
      </c>
      <c r="I801" s="22" t="s">
        <v>72</v>
      </c>
      <c r="J801" s="22" t="s">
        <v>3027</v>
      </c>
      <c r="K801" s="22">
        <v>4</v>
      </c>
      <c r="L801" s="22" t="s">
        <v>82</v>
      </c>
      <c r="M801" s="22" t="s">
        <v>86</v>
      </c>
      <c r="N801" s="24">
        <v>1314.24</v>
      </c>
      <c r="O801" s="22">
        <f>YEAR(B801)</f>
        <v>2023</v>
      </c>
      <c r="P801" s="25">
        <f>DATE(YEAR(B801),MONTH(B801),1)</f>
        <v>45017</v>
      </c>
      <c r="Q801" s="22" t="str">
        <f>IF(N801&gt;Summary!$C$17,"Outlier","")</f>
        <v/>
      </c>
      <c r="R801" s="22" t="str">
        <f>IF(L801="","None",L801)</f>
        <v>FREESHIP</v>
      </c>
    </row>
    <row r="802" spans="1:18" x14ac:dyDescent="0.2">
      <c r="A802" s="22" t="s">
        <v>3028</v>
      </c>
      <c r="B802" s="23">
        <v>45744</v>
      </c>
      <c r="C802" s="22" t="s">
        <v>3029</v>
      </c>
      <c r="D802" s="22" t="s">
        <v>64</v>
      </c>
      <c r="E802" s="22">
        <v>1</v>
      </c>
      <c r="F802" s="24">
        <v>68.39</v>
      </c>
      <c r="G802" s="22" t="s">
        <v>3030</v>
      </c>
      <c r="H802" s="22" t="s">
        <v>79</v>
      </c>
      <c r="I802" s="22" t="s">
        <v>72</v>
      </c>
      <c r="J802" s="22" t="s">
        <v>3031</v>
      </c>
      <c r="K802" s="22">
        <v>3</v>
      </c>
      <c r="L802" s="22" t="s">
        <v>84</v>
      </c>
      <c r="M802" s="22" t="s">
        <v>87</v>
      </c>
      <c r="N802" s="24">
        <v>68.39</v>
      </c>
      <c r="O802" s="22">
        <f>YEAR(B802)</f>
        <v>2025</v>
      </c>
      <c r="P802" s="25">
        <f>DATE(YEAR(B802),MONTH(B802),1)</f>
        <v>45717</v>
      </c>
      <c r="Q802" s="22" t="str">
        <f>IF(N802&gt;Summary!$C$17,"Outlier","")</f>
        <v/>
      </c>
      <c r="R802" s="22" t="str">
        <f>IF(L802="","None",L802)</f>
        <v>WINTER15</v>
      </c>
    </row>
    <row r="803" spans="1:18" x14ac:dyDescent="0.2">
      <c r="A803" s="22" t="s">
        <v>3032</v>
      </c>
      <c r="B803" s="23">
        <v>45049</v>
      </c>
      <c r="C803" s="22" t="s">
        <v>226</v>
      </c>
      <c r="D803" s="22" t="s">
        <v>62</v>
      </c>
      <c r="E803" s="22">
        <v>4</v>
      </c>
      <c r="F803" s="24">
        <v>595.62</v>
      </c>
      <c r="G803" s="22" t="s">
        <v>3033</v>
      </c>
      <c r="H803" s="22" t="s">
        <v>77</v>
      </c>
      <c r="I803" s="22" t="s">
        <v>71</v>
      </c>
      <c r="J803" s="22" t="s">
        <v>3034</v>
      </c>
      <c r="K803" s="22">
        <v>8</v>
      </c>
      <c r="L803" s="22" t="s">
        <v>82</v>
      </c>
      <c r="M803" s="22" t="s">
        <v>87</v>
      </c>
      <c r="N803" s="24">
        <v>2382.48</v>
      </c>
      <c r="O803" s="22">
        <f>YEAR(B803)</f>
        <v>2023</v>
      </c>
      <c r="P803" s="25">
        <f>DATE(YEAR(B803),MONTH(B803),1)</f>
        <v>45047</v>
      </c>
      <c r="Q803" s="22" t="str">
        <f>IF(N803&gt;Summary!$C$17,"Outlier","")</f>
        <v/>
      </c>
      <c r="R803" s="22" t="str">
        <f>IF(L803="","None",L803)</f>
        <v>FREESHIP</v>
      </c>
    </row>
    <row r="804" spans="1:18" x14ac:dyDescent="0.2">
      <c r="A804" s="22" t="s">
        <v>3035</v>
      </c>
      <c r="B804" s="23">
        <v>45339</v>
      </c>
      <c r="C804" s="22" t="s">
        <v>3036</v>
      </c>
      <c r="D804" s="22" t="s">
        <v>61</v>
      </c>
      <c r="E804" s="22">
        <v>5</v>
      </c>
      <c r="F804" s="24">
        <v>644.64</v>
      </c>
      <c r="G804" s="22" t="s">
        <v>3037</v>
      </c>
      <c r="H804" s="22" t="s">
        <v>78</v>
      </c>
      <c r="I804" s="22" t="s">
        <v>73</v>
      </c>
      <c r="J804" s="22" t="s">
        <v>3038</v>
      </c>
      <c r="K804" s="22">
        <v>6</v>
      </c>
      <c r="L804" s="22" t="s">
        <v>82</v>
      </c>
      <c r="M804" s="22" t="s">
        <v>86</v>
      </c>
      <c r="N804" s="24">
        <v>3223.2</v>
      </c>
      <c r="O804" s="22">
        <f>YEAR(B804)</f>
        <v>2024</v>
      </c>
      <c r="P804" s="25">
        <f>DATE(YEAR(B804),MONTH(B804),1)</f>
        <v>45323</v>
      </c>
      <c r="Q804" s="22" t="str">
        <f>IF(N804&gt;Summary!$C$17,"Outlier","")</f>
        <v/>
      </c>
      <c r="R804" s="22" t="str">
        <f>IF(L804="","None",L804)</f>
        <v>FREESHIP</v>
      </c>
    </row>
    <row r="805" spans="1:18" x14ac:dyDescent="0.2">
      <c r="A805" s="22" t="s">
        <v>3039</v>
      </c>
      <c r="B805" s="23">
        <v>45158</v>
      </c>
      <c r="C805" s="22" t="s">
        <v>3040</v>
      </c>
      <c r="D805" s="22" t="s">
        <v>65</v>
      </c>
      <c r="E805" s="22">
        <v>5</v>
      </c>
      <c r="F805" s="24">
        <v>397.81</v>
      </c>
      <c r="G805" s="22" t="s">
        <v>301</v>
      </c>
      <c r="H805" s="22" t="s">
        <v>77</v>
      </c>
      <c r="I805" s="22" t="s">
        <v>72</v>
      </c>
      <c r="J805" s="22" t="s">
        <v>3041</v>
      </c>
      <c r="K805" s="22">
        <v>5</v>
      </c>
      <c r="L805" s="22" t="s">
        <v>83</v>
      </c>
      <c r="M805" s="22" t="s">
        <v>90</v>
      </c>
      <c r="N805" s="24">
        <v>1989.05</v>
      </c>
      <c r="O805" s="22">
        <f>YEAR(B805)</f>
        <v>2023</v>
      </c>
      <c r="P805" s="25">
        <f>DATE(YEAR(B805),MONTH(B805),1)</f>
        <v>45139</v>
      </c>
      <c r="Q805" s="22" t="str">
        <f>IF(N805&gt;Summary!$C$17,"Outlier","")</f>
        <v/>
      </c>
      <c r="R805" s="22" t="str">
        <f>IF(L805="","None",L805)</f>
        <v>SAVE10</v>
      </c>
    </row>
    <row r="806" spans="1:18" x14ac:dyDescent="0.2">
      <c r="A806" s="22" t="s">
        <v>3042</v>
      </c>
      <c r="B806" s="23">
        <v>45292</v>
      </c>
      <c r="C806" s="22" t="s">
        <v>3043</v>
      </c>
      <c r="D806" s="22" t="s">
        <v>61</v>
      </c>
      <c r="E806" s="22">
        <v>3</v>
      </c>
      <c r="F806" s="24">
        <v>236.5</v>
      </c>
      <c r="G806" s="22" t="s">
        <v>3044</v>
      </c>
      <c r="H806" s="22" t="s">
        <v>79</v>
      </c>
      <c r="I806" s="22" t="s">
        <v>69</v>
      </c>
      <c r="J806" s="22" t="s">
        <v>3045</v>
      </c>
      <c r="K806" s="22">
        <v>8</v>
      </c>
      <c r="L806" s="22" t="s">
        <v>82</v>
      </c>
      <c r="M806" s="22" t="s">
        <v>86</v>
      </c>
      <c r="N806" s="24">
        <v>709.5</v>
      </c>
      <c r="O806" s="22">
        <f>YEAR(B806)</f>
        <v>2024</v>
      </c>
      <c r="P806" s="25">
        <f>DATE(YEAR(B806),MONTH(B806),1)</f>
        <v>45292</v>
      </c>
      <c r="Q806" s="22" t="str">
        <f>IF(N806&gt;Summary!$C$17,"Outlier","")</f>
        <v/>
      </c>
      <c r="R806" s="22" t="str">
        <f>IF(L806="","None",L806)</f>
        <v>FREESHIP</v>
      </c>
    </row>
    <row r="807" spans="1:18" x14ac:dyDescent="0.2">
      <c r="A807" s="22" t="s">
        <v>3046</v>
      </c>
      <c r="B807" s="23">
        <v>45580</v>
      </c>
      <c r="C807" s="22" t="s">
        <v>3047</v>
      </c>
      <c r="D807" s="22" t="s">
        <v>63</v>
      </c>
      <c r="E807" s="22">
        <v>5</v>
      </c>
      <c r="F807" s="24">
        <v>472.01</v>
      </c>
      <c r="G807" s="22" t="s">
        <v>3048</v>
      </c>
      <c r="H807" s="22" t="s">
        <v>78</v>
      </c>
      <c r="I807" s="22" t="s">
        <v>73</v>
      </c>
      <c r="J807" s="22" t="s">
        <v>3049</v>
      </c>
      <c r="K807" s="22">
        <v>10</v>
      </c>
      <c r="L807" s="22" t="s">
        <v>83</v>
      </c>
      <c r="M807" s="22" t="s">
        <v>86</v>
      </c>
      <c r="N807" s="24">
        <v>2360.0500000000002</v>
      </c>
      <c r="O807" s="22">
        <f>YEAR(B807)</f>
        <v>2024</v>
      </c>
      <c r="P807" s="25">
        <f>DATE(YEAR(B807),MONTH(B807),1)</f>
        <v>45566</v>
      </c>
      <c r="Q807" s="22" t="str">
        <f>IF(N807&gt;Summary!$C$17,"Outlier","")</f>
        <v/>
      </c>
      <c r="R807" s="22" t="str">
        <f>IF(L807="","None",L807)</f>
        <v>SAVE10</v>
      </c>
    </row>
    <row r="808" spans="1:18" x14ac:dyDescent="0.2">
      <c r="A808" s="22" t="s">
        <v>3050</v>
      </c>
      <c r="B808" s="23">
        <v>45170</v>
      </c>
      <c r="C808" s="22" t="s">
        <v>3051</v>
      </c>
      <c r="D808" s="22" t="s">
        <v>61</v>
      </c>
      <c r="E808" s="22">
        <v>5</v>
      </c>
      <c r="F808" s="24">
        <v>253.75</v>
      </c>
      <c r="G808" s="22" t="s">
        <v>1198</v>
      </c>
      <c r="H808" s="22" t="s">
        <v>79</v>
      </c>
      <c r="I808" s="22" t="s">
        <v>71</v>
      </c>
      <c r="J808" s="22" t="s">
        <v>3052</v>
      </c>
      <c r="K808" s="22">
        <v>9</v>
      </c>
      <c r="L808" s="22" t="s">
        <v>84</v>
      </c>
      <c r="M808" s="22" t="s">
        <v>89</v>
      </c>
      <c r="N808" s="24">
        <v>1268.75</v>
      </c>
      <c r="O808" s="22">
        <f>YEAR(B808)</f>
        <v>2023</v>
      </c>
      <c r="P808" s="25">
        <f>DATE(YEAR(B808),MONTH(B808),1)</f>
        <v>45170</v>
      </c>
      <c r="Q808" s="22" t="str">
        <f>IF(N808&gt;Summary!$C$17,"Outlier","")</f>
        <v/>
      </c>
      <c r="R808" s="22" t="str">
        <f>IF(L808="","None",L808)</f>
        <v>WINTER15</v>
      </c>
    </row>
    <row r="809" spans="1:18" x14ac:dyDescent="0.2">
      <c r="A809" s="22" t="s">
        <v>3053</v>
      </c>
      <c r="B809" s="23">
        <v>45606</v>
      </c>
      <c r="C809" s="22" t="s">
        <v>3054</v>
      </c>
      <c r="D809" s="22" t="s">
        <v>65</v>
      </c>
      <c r="E809" s="22">
        <v>3</v>
      </c>
      <c r="F809" s="24">
        <v>676.21</v>
      </c>
      <c r="G809" s="22" t="s">
        <v>3055</v>
      </c>
      <c r="H809" s="22" t="s">
        <v>79</v>
      </c>
      <c r="I809" s="22" t="s">
        <v>69</v>
      </c>
      <c r="J809" s="22" t="s">
        <v>3056</v>
      </c>
      <c r="K809" s="22">
        <v>5</v>
      </c>
      <c r="L809" s="22" t="s">
        <v>83</v>
      </c>
      <c r="M809" s="22" t="s">
        <v>88</v>
      </c>
      <c r="N809" s="24">
        <v>2028.63</v>
      </c>
      <c r="O809" s="22">
        <f>YEAR(B809)</f>
        <v>2024</v>
      </c>
      <c r="P809" s="25">
        <f>DATE(YEAR(B809),MONTH(B809),1)</f>
        <v>45597</v>
      </c>
      <c r="Q809" s="22" t="str">
        <f>IF(N809&gt;Summary!$C$17,"Outlier","")</f>
        <v/>
      </c>
      <c r="R809" s="22" t="str">
        <f>IF(L809="","None",L809)</f>
        <v>SAVE10</v>
      </c>
    </row>
    <row r="810" spans="1:18" x14ac:dyDescent="0.2">
      <c r="A810" s="22" t="s">
        <v>3057</v>
      </c>
      <c r="B810" s="23">
        <v>45335</v>
      </c>
      <c r="C810" s="22" t="s">
        <v>3058</v>
      </c>
      <c r="D810" s="22" t="s">
        <v>66</v>
      </c>
      <c r="E810" s="22">
        <v>3</v>
      </c>
      <c r="F810" s="24">
        <v>134.05000000000001</v>
      </c>
      <c r="G810" s="22" t="s">
        <v>3059</v>
      </c>
      <c r="H810" s="22" t="s">
        <v>76</v>
      </c>
      <c r="I810" s="22" t="s">
        <v>70</v>
      </c>
      <c r="J810" s="22" t="s">
        <v>3060</v>
      </c>
      <c r="K810" s="22">
        <v>3</v>
      </c>
      <c r="L810" s="22"/>
      <c r="M810" s="22" t="s">
        <v>88</v>
      </c>
      <c r="N810" s="24">
        <v>402.15</v>
      </c>
      <c r="O810" s="22">
        <f>YEAR(B810)</f>
        <v>2024</v>
      </c>
      <c r="P810" s="25">
        <f>DATE(YEAR(B810),MONTH(B810),1)</f>
        <v>45323</v>
      </c>
      <c r="Q810" s="22" t="str">
        <f>IF(N810&gt;Summary!$C$17,"Outlier","")</f>
        <v/>
      </c>
      <c r="R810" s="22" t="str">
        <f>IF(L810="","None",L810)</f>
        <v>None</v>
      </c>
    </row>
    <row r="811" spans="1:18" x14ac:dyDescent="0.2">
      <c r="A811" s="22" t="s">
        <v>3061</v>
      </c>
      <c r="B811" s="23">
        <v>45391</v>
      </c>
      <c r="C811" s="22" t="s">
        <v>3062</v>
      </c>
      <c r="D811" s="22" t="s">
        <v>66</v>
      </c>
      <c r="E811" s="22">
        <v>5</v>
      </c>
      <c r="F811" s="24">
        <v>217.43</v>
      </c>
      <c r="G811" s="22" t="s">
        <v>371</v>
      </c>
      <c r="H811" s="22" t="s">
        <v>77</v>
      </c>
      <c r="I811" s="22" t="s">
        <v>70</v>
      </c>
      <c r="J811" s="22" t="s">
        <v>3063</v>
      </c>
      <c r="K811" s="22">
        <v>10</v>
      </c>
      <c r="L811" s="22" t="s">
        <v>83</v>
      </c>
      <c r="M811" s="22" t="s">
        <v>89</v>
      </c>
      <c r="N811" s="24">
        <v>1087.1500000000001</v>
      </c>
      <c r="O811" s="22">
        <f>YEAR(B811)</f>
        <v>2024</v>
      </c>
      <c r="P811" s="25">
        <f>DATE(YEAR(B811),MONTH(B811),1)</f>
        <v>45383</v>
      </c>
      <c r="Q811" s="22" t="str">
        <f>IF(N811&gt;Summary!$C$17,"Outlier","")</f>
        <v/>
      </c>
      <c r="R811" s="22" t="str">
        <f>IF(L811="","None",L811)</f>
        <v>SAVE10</v>
      </c>
    </row>
    <row r="812" spans="1:18" x14ac:dyDescent="0.2">
      <c r="A812" s="22" t="s">
        <v>3064</v>
      </c>
      <c r="B812" s="23">
        <v>45077</v>
      </c>
      <c r="C812" s="22" t="s">
        <v>3065</v>
      </c>
      <c r="D812" s="22" t="s">
        <v>64</v>
      </c>
      <c r="E812" s="22">
        <v>1</v>
      </c>
      <c r="F812" s="24">
        <v>553.55999999999995</v>
      </c>
      <c r="G812" s="22" t="s">
        <v>3066</v>
      </c>
      <c r="H812" s="22" t="s">
        <v>76</v>
      </c>
      <c r="I812" s="22" t="s">
        <v>73</v>
      </c>
      <c r="J812" s="22" t="s">
        <v>3067</v>
      </c>
      <c r="K812" s="22">
        <v>5</v>
      </c>
      <c r="L812" s="22"/>
      <c r="M812" s="22" t="s">
        <v>90</v>
      </c>
      <c r="N812" s="24">
        <v>553.55999999999995</v>
      </c>
      <c r="O812" s="22">
        <f>YEAR(B812)</f>
        <v>2023</v>
      </c>
      <c r="P812" s="25">
        <f>DATE(YEAR(B812),MONTH(B812),1)</f>
        <v>45047</v>
      </c>
      <c r="Q812" s="22" t="str">
        <f>IF(N812&gt;Summary!$C$17,"Outlier","")</f>
        <v/>
      </c>
      <c r="R812" s="22" t="str">
        <f>IF(L812="","None",L812)</f>
        <v>None</v>
      </c>
    </row>
    <row r="813" spans="1:18" x14ac:dyDescent="0.2">
      <c r="A813" s="22" t="s">
        <v>3068</v>
      </c>
      <c r="B813" s="23">
        <v>45235</v>
      </c>
      <c r="C813" s="22" t="s">
        <v>3069</v>
      </c>
      <c r="D813" s="22" t="s">
        <v>63</v>
      </c>
      <c r="E813" s="22">
        <v>2</v>
      </c>
      <c r="F813" s="24">
        <v>28.55</v>
      </c>
      <c r="G813" s="22" t="s">
        <v>2867</v>
      </c>
      <c r="H813" s="22" t="s">
        <v>78</v>
      </c>
      <c r="I813" s="22" t="s">
        <v>70</v>
      </c>
      <c r="J813" s="22" t="s">
        <v>3070</v>
      </c>
      <c r="K813" s="22">
        <v>7</v>
      </c>
      <c r="L813" s="22" t="s">
        <v>83</v>
      </c>
      <c r="M813" s="22" t="s">
        <v>86</v>
      </c>
      <c r="N813" s="24">
        <v>57.1</v>
      </c>
      <c r="O813" s="22">
        <f>YEAR(B813)</f>
        <v>2023</v>
      </c>
      <c r="P813" s="25">
        <f>DATE(YEAR(B813),MONTH(B813),1)</f>
        <v>45231</v>
      </c>
      <c r="Q813" s="22" t="str">
        <f>IF(N813&gt;Summary!$C$17,"Outlier","")</f>
        <v/>
      </c>
      <c r="R813" s="22" t="str">
        <f>IF(L813="","None",L813)</f>
        <v>SAVE10</v>
      </c>
    </row>
    <row r="814" spans="1:18" x14ac:dyDescent="0.2">
      <c r="A814" s="22" t="s">
        <v>3071</v>
      </c>
      <c r="B814" s="23">
        <v>45317</v>
      </c>
      <c r="C814" s="22" t="s">
        <v>3072</v>
      </c>
      <c r="D814" s="22" t="s">
        <v>67</v>
      </c>
      <c r="E814" s="22">
        <v>2</v>
      </c>
      <c r="F814" s="24">
        <v>255.26</v>
      </c>
      <c r="G814" s="22" t="s">
        <v>1147</v>
      </c>
      <c r="H814" s="22" t="s">
        <v>76</v>
      </c>
      <c r="I814" s="22" t="s">
        <v>73</v>
      </c>
      <c r="J814" s="22" t="s">
        <v>3073</v>
      </c>
      <c r="K814" s="22">
        <v>6</v>
      </c>
      <c r="L814" s="22" t="s">
        <v>82</v>
      </c>
      <c r="M814" s="22" t="s">
        <v>88</v>
      </c>
      <c r="N814" s="24">
        <v>510.52</v>
      </c>
      <c r="O814" s="22">
        <f>YEAR(B814)</f>
        <v>2024</v>
      </c>
      <c r="P814" s="25">
        <f>DATE(YEAR(B814),MONTH(B814),1)</f>
        <v>45292</v>
      </c>
      <c r="Q814" s="22" t="str">
        <f>IF(N814&gt;Summary!$C$17,"Outlier","")</f>
        <v/>
      </c>
      <c r="R814" s="22" t="str">
        <f>IF(L814="","None",L814)</f>
        <v>FREESHIP</v>
      </c>
    </row>
    <row r="815" spans="1:18" x14ac:dyDescent="0.2">
      <c r="A815" s="22" t="s">
        <v>3074</v>
      </c>
      <c r="B815" s="23">
        <v>45731</v>
      </c>
      <c r="C815" s="22" t="s">
        <v>3075</v>
      </c>
      <c r="D815" s="22" t="s">
        <v>63</v>
      </c>
      <c r="E815" s="22">
        <v>5</v>
      </c>
      <c r="F815" s="24">
        <v>292.54000000000002</v>
      </c>
      <c r="G815" s="22" t="s">
        <v>1194</v>
      </c>
      <c r="H815" s="22" t="s">
        <v>77</v>
      </c>
      <c r="I815" s="22" t="s">
        <v>73</v>
      </c>
      <c r="J815" s="22" t="s">
        <v>3076</v>
      </c>
      <c r="K815" s="22">
        <v>8</v>
      </c>
      <c r="L815" s="22" t="s">
        <v>82</v>
      </c>
      <c r="M815" s="22" t="s">
        <v>86</v>
      </c>
      <c r="N815" s="24">
        <v>1462.7</v>
      </c>
      <c r="O815" s="22">
        <f>YEAR(B815)</f>
        <v>2025</v>
      </c>
      <c r="P815" s="25">
        <f>DATE(YEAR(B815),MONTH(B815),1)</f>
        <v>45717</v>
      </c>
      <c r="Q815" s="22" t="str">
        <f>IF(N815&gt;Summary!$C$17,"Outlier","")</f>
        <v/>
      </c>
      <c r="R815" s="22" t="str">
        <f>IF(L815="","None",L815)</f>
        <v>FREESHIP</v>
      </c>
    </row>
    <row r="816" spans="1:18" x14ac:dyDescent="0.2">
      <c r="A816" s="22" t="s">
        <v>3077</v>
      </c>
      <c r="B816" s="23">
        <v>45637</v>
      </c>
      <c r="C816" s="22" t="s">
        <v>3078</v>
      </c>
      <c r="D816" s="22" t="s">
        <v>61</v>
      </c>
      <c r="E816" s="22">
        <v>4</v>
      </c>
      <c r="F816" s="24">
        <v>147.51</v>
      </c>
      <c r="G816" s="22" t="s">
        <v>3079</v>
      </c>
      <c r="H816" s="22" t="s">
        <v>77</v>
      </c>
      <c r="I816" s="22" t="s">
        <v>71</v>
      </c>
      <c r="J816" s="22" t="s">
        <v>3080</v>
      </c>
      <c r="K816" s="22">
        <v>4</v>
      </c>
      <c r="L816" s="22" t="s">
        <v>84</v>
      </c>
      <c r="M816" s="22" t="s">
        <v>89</v>
      </c>
      <c r="N816" s="24">
        <v>590.04</v>
      </c>
      <c r="O816" s="22">
        <f>YEAR(B816)</f>
        <v>2024</v>
      </c>
      <c r="P816" s="25">
        <f>DATE(YEAR(B816),MONTH(B816),1)</f>
        <v>45627</v>
      </c>
      <c r="Q816" s="22" t="str">
        <f>IF(N816&gt;Summary!$C$17,"Outlier","")</f>
        <v/>
      </c>
      <c r="R816" s="22" t="str">
        <f>IF(L816="","None",L816)</f>
        <v>WINTER15</v>
      </c>
    </row>
    <row r="817" spans="1:18" x14ac:dyDescent="0.2">
      <c r="A817" s="22" t="s">
        <v>3081</v>
      </c>
      <c r="B817" s="23">
        <v>45508</v>
      </c>
      <c r="C817" s="22" t="s">
        <v>3082</v>
      </c>
      <c r="D817" s="22" t="s">
        <v>62</v>
      </c>
      <c r="E817" s="22">
        <v>3</v>
      </c>
      <c r="F817" s="24">
        <v>569.84</v>
      </c>
      <c r="G817" s="22" t="s">
        <v>3083</v>
      </c>
      <c r="H817" s="22" t="s">
        <v>78</v>
      </c>
      <c r="I817" s="22" t="s">
        <v>73</v>
      </c>
      <c r="J817" s="22" t="s">
        <v>3084</v>
      </c>
      <c r="K817" s="22">
        <v>8</v>
      </c>
      <c r="L817" s="22" t="s">
        <v>84</v>
      </c>
      <c r="M817" s="22" t="s">
        <v>89</v>
      </c>
      <c r="N817" s="24">
        <v>1709.52</v>
      </c>
      <c r="O817" s="22">
        <f>YEAR(B817)</f>
        <v>2024</v>
      </c>
      <c r="P817" s="25">
        <f>DATE(YEAR(B817),MONTH(B817),1)</f>
        <v>45505</v>
      </c>
      <c r="Q817" s="22" t="str">
        <f>IF(N817&gt;Summary!$C$17,"Outlier","")</f>
        <v/>
      </c>
      <c r="R817" s="22" t="str">
        <f>IF(L817="","None",L817)</f>
        <v>WINTER15</v>
      </c>
    </row>
    <row r="818" spans="1:18" x14ac:dyDescent="0.2">
      <c r="A818" s="22" t="s">
        <v>3085</v>
      </c>
      <c r="B818" s="23">
        <v>45343</v>
      </c>
      <c r="C818" s="22" t="s">
        <v>3086</v>
      </c>
      <c r="D818" s="22" t="s">
        <v>64</v>
      </c>
      <c r="E818" s="22">
        <v>5</v>
      </c>
      <c r="F818" s="24">
        <v>574.79</v>
      </c>
      <c r="G818" s="22" t="s">
        <v>969</v>
      </c>
      <c r="H818" s="22" t="s">
        <v>76</v>
      </c>
      <c r="I818" s="22" t="s">
        <v>71</v>
      </c>
      <c r="J818" s="22" t="s">
        <v>3087</v>
      </c>
      <c r="K818" s="22">
        <v>8</v>
      </c>
      <c r="L818" s="22" t="s">
        <v>84</v>
      </c>
      <c r="M818" s="22" t="s">
        <v>90</v>
      </c>
      <c r="N818" s="24">
        <v>2873.95</v>
      </c>
      <c r="O818" s="22">
        <f>YEAR(B818)</f>
        <v>2024</v>
      </c>
      <c r="P818" s="25">
        <f>DATE(YEAR(B818),MONTH(B818),1)</f>
        <v>45323</v>
      </c>
      <c r="Q818" s="22" t="str">
        <f>IF(N818&gt;Summary!$C$17,"Outlier","")</f>
        <v/>
      </c>
      <c r="R818" s="22" t="str">
        <f>IF(L818="","None",L818)</f>
        <v>WINTER15</v>
      </c>
    </row>
    <row r="819" spans="1:18" x14ac:dyDescent="0.2">
      <c r="A819" s="22" t="s">
        <v>3088</v>
      </c>
      <c r="B819" s="23">
        <v>45204</v>
      </c>
      <c r="C819" s="22" t="s">
        <v>3089</v>
      </c>
      <c r="D819" s="22" t="s">
        <v>61</v>
      </c>
      <c r="E819" s="22">
        <v>4</v>
      </c>
      <c r="F819" s="24">
        <v>598.19000000000005</v>
      </c>
      <c r="G819" s="22" t="s">
        <v>3090</v>
      </c>
      <c r="H819" s="22" t="s">
        <v>76</v>
      </c>
      <c r="I819" s="22" t="s">
        <v>69</v>
      </c>
      <c r="J819" s="22" t="s">
        <v>3091</v>
      </c>
      <c r="K819" s="22">
        <v>7</v>
      </c>
      <c r="L819" s="22" t="s">
        <v>84</v>
      </c>
      <c r="M819" s="22" t="s">
        <v>86</v>
      </c>
      <c r="N819" s="24">
        <v>2392.7600000000002</v>
      </c>
      <c r="O819" s="22">
        <f>YEAR(B819)</f>
        <v>2023</v>
      </c>
      <c r="P819" s="25">
        <f>DATE(YEAR(B819),MONTH(B819),1)</f>
        <v>45200</v>
      </c>
      <c r="Q819" s="22" t="str">
        <f>IF(N819&gt;Summary!$C$17,"Outlier","")</f>
        <v/>
      </c>
      <c r="R819" s="22" t="str">
        <f>IF(L819="","None",L819)</f>
        <v>WINTER15</v>
      </c>
    </row>
    <row r="820" spans="1:18" x14ac:dyDescent="0.2">
      <c r="A820" s="22" t="s">
        <v>3092</v>
      </c>
      <c r="B820" s="23">
        <v>44987</v>
      </c>
      <c r="C820" s="22" t="s">
        <v>3093</v>
      </c>
      <c r="D820" s="22" t="s">
        <v>67</v>
      </c>
      <c r="E820" s="22">
        <v>4</v>
      </c>
      <c r="F820" s="24">
        <v>390.84</v>
      </c>
      <c r="G820" s="22" t="s">
        <v>2592</v>
      </c>
      <c r="H820" s="22" t="s">
        <v>76</v>
      </c>
      <c r="I820" s="22" t="s">
        <v>73</v>
      </c>
      <c r="J820" s="22" t="s">
        <v>3094</v>
      </c>
      <c r="K820" s="22">
        <v>9</v>
      </c>
      <c r="L820" s="22" t="s">
        <v>84</v>
      </c>
      <c r="M820" s="22" t="s">
        <v>90</v>
      </c>
      <c r="N820" s="24">
        <v>1563.36</v>
      </c>
      <c r="O820" s="22">
        <f>YEAR(B820)</f>
        <v>2023</v>
      </c>
      <c r="P820" s="25">
        <f>DATE(YEAR(B820),MONTH(B820),1)</f>
        <v>44986</v>
      </c>
      <c r="Q820" s="22" t="str">
        <f>IF(N820&gt;Summary!$C$17,"Outlier","")</f>
        <v/>
      </c>
      <c r="R820" s="22" t="str">
        <f>IF(L820="","None",L820)</f>
        <v>WINTER15</v>
      </c>
    </row>
    <row r="821" spans="1:18" x14ac:dyDescent="0.2">
      <c r="A821" s="22" t="s">
        <v>3095</v>
      </c>
      <c r="B821" s="23">
        <v>45563</v>
      </c>
      <c r="C821" s="22" t="s">
        <v>3096</v>
      </c>
      <c r="D821" s="22" t="s">
        <v>67</v>
      </c>
      <c r="E821" s="22">
        <v>2</v>
      </c>
      <c r="F821" s="24">
        <v>398.45</v>
      </c>
      <c r="G821" s="22" t="s">
        <v>3097</v>
      </c>
      <c r="H821" s="22" t="s">
        <v>77</v>
      </c>
      <c r="I821" s="22" t="s">
        <v>73</v>
      </c>
      <c r="J821" s="22" t="s">
        <v>3098</v>
      </c>
      <c r="K821" s="22">
        <v>7</v>
      </c>
      <c r="L821" s="22" t="s">
        <v>83</v>
      </c>
      <c r="M821" s="22" t="s">
        <v>88</v>
      </c>
      <c r="N821" s="24">
        <v>796.9</v>
      </c>
      <c r="O821" s="22">
        <f>YEAR(B821)</f>
        <v>2024</v>
      </c>
      <c r="P821" s="25">
        <f>DATE(YEAR(B821),MONTH(B821),1)</f>
        <v>45536</v>
      </c>
      <c r="Q821" s="22" t="str">
        <f>IF(N821&gt;Summary!$C$17,"Outlier","")</f>
        <v/>
      </c>
      <c r="R821" s="22" t="str">
        <f>IF(L821="","None",L821)</f>
        <v>SAVE10</v>
      </c>
    </row>
    <row r="822" spans="1:18" x14ac:dyDescent="0.2">
      <c r="A822" s="22" t="s">
        <v>3099</v>
      </c>
      <c r="B822" s="23">
        <v>45073</v>
      </c>
      <c r="C822" s="22" t="s">
        <v>3100</v>
      </c>
      <c r="D822" s="22" t="s">
        <v>67</v>
      </c>
      <c r="E822" s="22">
        <v>5</v>
      </c>
      <c r="F822" s="24">
        <v>623.80999999999995</v>
      </c>
      <c r="G822" s="22" t="s">
        <v>1471</v>
      </c>
      <c r="H822" s="22" t="s">
        <v>75</v>
      </c>
      <c r="I822" s="22" t="s">
        <v>72</v>
      </c>
      <c r="J822" s="22" t="s">
        <v>3101</v>
      </c>
      <c r="K822" s="22">
        <v>6</v>
      </c>
      <c r="L822" s="22" t="s">
        <v>82</v>
      </c>
      <c r="M822" s="22" t="s">
        <v>86</v>
      </c>
      <c r="N822" s="24">
        <v>3119.05</v>
      </c>
      <c r="O822" s="22">
        <f>YEAR(B822)</f>
        <v>2023</v>
      </c>
      <c r="P822" s="25">
        <f>DATE(YEAR(B822),MONTH(B822),1)</f>
        <v>45047</v>
      </c>
      <c r="Q822" s="22" t="str">
        <f>IF(N822&gt;Summary!$C$17,"Outlier","")</f>
        <v/>
      </c>
      <c r="R822" s="22" t="str">
        <f>IF(L822="","None",L822)</f>
        <v>FREESHIP</v>
      </c>
    </row>
    <row r="823" spans="1:18" x14ac:dyDescent="0.2">
      <c r="A823" s="22" t="s">
        <v>3102</v>
      </c>
      <c r="B823" s="23">
        <v>45640</v>
      </c>
      <c r="C823" s="22" t="s">
        <v>3103</v>
      </c>
      <c r="D823" s="22" t="s">
        <v>63</v>
      </c>
      <c r="E823" s="22">
        <v>4</v>
      </c>
      <c r="F823" s="24">
        <v>174.49</v>
      </c>
      <c r="G823" s="22" t="s">
        <v>1439</v>
      </c>
      <c r="H823" s="22" t="s">
        <v>76</v>
      </c>
      <c r="I823" s="22" t="s">
        <v>69</v>
      </c>
      <c r="J823" s="22" t="s">
        <v>3104</v>
      </c>
      <c r="K823" s="22">
        <v>5</v>
      </c>
      <c r="L823" s="22" t="s">
        <v>83</v>
      </c>
      <c r="M823" s="22" t="s">
        <v>87</v>
      </c>
      <c r="N823" s="24">
        <v>697.96</v>
      </c>
      <c r="O823" s="22">
        <f>YEAR(B823)</f>
        <v>2024</v>
      </c>
      <c r="P823" s="25">
        <f>DATE(YEAR(B823),MONTH(B823),1)</f>
        <v>45627</v>
      </c>
      <c r="Q823" s="22" t="str">
        <f>IF(N823&gt;Summary!$C$17,"Outlier","")</f>
        <v/>
      </c>
      <c r="R823" s="22" t="str">
        <f>IF(L823="","None",L823)</f>
        <v>SAVE10</v>
      </c>
    </row>
    <row r="824" spans="1:18" x14ac:dyDescent="0.2">
      <c r="A824" s="22" t="s">
        <v>3105</v>
      </c>
      <c r="B824" s="23">
        <v>45731</v>
      </c>
      <c r="C824" s="22" t="s">
        <v>3106</v>
      </c>
      <c r="D824" s="22" t="s">
        <v>67</v>
      </c>
      <c r="E824" s="22">
        <v>1</v>
      </c>
      <c r="F824" s="24">
        <v>479.56</v>
      </c>
      <c r="G824" s="22" t="s">
        <v>398</v>
      </c>
      <c r="H824" s="22" t="s">
        <v>78</v>
      </c>
      <c r="I824" s="22" t="s">
        <v>72</v>
      </c>
      <c r="J824" s="22" t="s">
        <v>3107</v>
      </c>
      <c r="K824" s="22">
        <v>1</v>
      </c>
      <c r="L824" s="22" t="s">
        <v>83</v>
      </c>
      <c r="M824" s="22" t="s">
        <v>88</v>
      </c>
      <c r="N824" s="24">
        <v>479.56</v>
      </c>
      <c r="O824" s="22">
        <f>YEAR(B824)</f>
        <v>2025</v>
      </c>
      <c r="P824" s="25">
        <f>DATE(YEAR(B824),MONTH(B824),1)</f>
        <v>45717</v>
      </c>
      <c r="Q824" s="22" t="str">
        <f>IF(N824&gt;Summary!$C$17,"Outlier","")</f>
        <v/>
      </c>
      <c r="R824" s="22" t="str">
        <f>IF(L824="","None",L824)</f>
        <v>SAVE10</v>
      </c>
    </row>
    <row r="825" spans="1:18" x14ac:dyDescent="0.2">
      <c r="A825" s="22" t="s">
        <v>3108</v>
      </c>
      <c r="B825" s="23">
        <v>45572</v>
      </c>
      <c r="C825" s="22" t="s">
        <v>3109</v>
      </c>
      <c r="D825" s="22" t="s">
        <v>63</v>
      </c>
      <c r="E825" s="22">
        <v>4</v>
      </c>
      <c r="F825" s="24">
        <v>653.13</v>
      </c>
      <c r="G825" s="22" t="s">
        <v>3110</v>
      </c>
      <c r="H825" s="22" t="s">
        <v>76</v>
      </c>
      <c r="I825" s="22" t="s">
        <v>70</v>
      </c>
      <c r="J825" s="22" t="s">
        <v>3111</v>
      </c>
      <c r="K825" s="22">
        <v>8</v>
      </c>
      <c r="L825" s="22" t="s">
        <v>84</v>
      </c>
      <c r="M825" s="22" t="s">
        <v>89</v>
      </c>
      <c r="N825" s="24">
        <v>2612.52</v>
      </c>
      <c r="O825" s="22">
        <f>YEAR(B825)</f>
        <v>2024</v>
      </c>
      <c r="P825" s="25">
        <f>DATE(YEAR(B825),MONTH(B825),1)</f>
        <v>45566</v>
      </c>
      <c r="Q825" s="22" t="str">
        <f>IF(N825&gt;Summary!$C$17,"Outlier","")</f>
        <v/>
      </c>
      <c r="R825" s="22" t="str">
        <f>IF(L825="","None",L825)</f>
        <v>WINTER15</v>
      </c>
    </row>
    <row r="826" spans="1:18" x14ac:dyDescent="0.2">
      <c r="A826" s="22" t="s">
        <v>3112</v>
      </c>
      <c r="B826" s="23">
        <v>45167</v>
      </c>
      <c r="C826" s="22" t="s">
        <v>3113</v>
      </c>
      <c r="D826" s="22" t="s">
        <v>65</v>
      </c>
      <c r="E826" s="22">
        <v>3</v>
      </c>
      <c r="F826" s="24">
        <v>481.1</v>
      </c>
      <c r="G826" s="22" t="s">
        <v>3114</v>
      </c>
      <c r="H826" s="22" t="s">
        <v>76</v>
      </c>
      <c r="I826" s="22" t="s">
        <v>72</v>
      </c>
      <c r="J826" s="22" t="s">
        <v>3115</v>
      </c>
      <c r="K826" s="22">
        <v>3</v>
      </c>
      <c r="L826" s="22" t="s">
        <v>82</v>
      </c>
      <c r="M826" s="22" t="s">
        <v>87</v>
      </c>
      <c r="N826" s="24">
        <v>1443.3</v>
      </c>
      <c r="O826" s="22">
        <f>YEAR(B826)</f>
        <v>2023</v>
      </c>
      <c r="P826" s="25">
        <f>DATE(YEAR(B826),MONTH(B826),1)</f>
        <v>45139</v>
      </c>
      <c r="Q826" s="22" t="str">
        <f>IF(N826&gt;Summary!$C$17,"Outlier","")</f>
        <v/>
      </c>
      <c r="R826" s="22" t="str">
        <f>IF(L826="","None",L826)</f>
        <v>FREESHIP</v>
      </c>
    </row>
    <row r="827" spans="1:18" x14ac:dyDescent="0.2">
      <c r="A827" s="22" t="s">
        <v>3116</v>
      </c>
      <c r="B827" s="23">
        <v>45742</v>
      </c>
      <c r="C827" s="22" t="s">
        <v>3117</v>
      </c>
      <c r="D827" s="22" t="s">
        <v>66</v>
      </c>
      <c r="E827" s="22">
        <v>5</v>
      </c>
      <c r="F827" s="24">
        <v>271.69</v>
      </c>
      <c r="G827" s="22" t="s">
        <v>3118</v>
      </c>
      <c r="H827" s="22" t="s">
        <v>79</v>
      </c>
      <c r="I827" s="22" t="s">
        <v>72</v>
      </c>
      <c r="J827" s="22" t="s">
        <v>3119</v>
      </c>
      <c r="K827" s="22">
        <v>7</v>
      </c>
      <c r="L827" s="22" t="s">
        <v>82</v>
      </c>
      <c r="M827" s="22" t="s">
        <v>89</v>
      </c>
      <c r="N827" s="24">
        <v>1358.45</v>
      </c>
      <c r="O827" s="22">
        <f>YEAR(B827)</f>
        <v>2025</v>
      </c>
      <c r="P827" s="25">
        <f>DATE(YEAR(B827),MONTH(B827),1)</f>
        <v>45717</v>
      </c>
      <c r="Q827" s="22" t="str">
        <f>IF(N827&gt;Summary!$C$17,"Outlier","")</f>
        <v/>
      </c>
      <c r="R827" s="22" t="str">
        <f>IF(L827="","None",L827)</f>
        <v>FREESHIP</v>
      </c>
    </row>
    <row r="828" spans="1:18" x14ac:dyDescent="0.2">
      <c r="A828" s="22" t="s">
        <v>3120</v>
      </c>
      <c r="B828" s="23">
        <v>45724</v>
      </c>
      <c r="C828" s="22" t="s">
        <v>3121</v>
      </c>
      <c r="D828" s="22" t="s">
        <v>62</v>
      </c>
      <c r="E828" s="22">
        <v>3</v>
      </c>
      <c r="F828" s="24">
        <v>463.81</v>
      </c>
      <c r="G828" s="22" t="s">
        <v>812</v>
      </c>
      <c r="H828" s="22" t="s">
        <v>79</v>
      </c>
      <c r="I828" s="22" t="s">
        <v>72</v>
      </c>
      <c r="J828" s="22" t="s">
        <v>3122</v>
      </c>
      <c r="K828" s="22">
        <v>8</v>
      </c>
      <c r="L828" s="22" t="s">
        <v>84</v>
      </c>
      <c r="M828" s="22" t="s">
        <v>86</v>
      </c>
      <c r="N828" s="24">
        <v>1391.43</v>
      </c>
      <c r="O828" s="22">
        <f>YEAR(B828)</f>
        <v>2025</v>
      </c>
      <c r="P828" s="25">
        <f>DATE(YEAR(B828),MONTH(B828),1)</f>
        <v>45717</v>
      </c>
      <c r="Q828" s="22" t="str">
        <f>IF(N828&gt;Summary!$C$17,"Outlier","")</f>
        <v/>
      </c>
      <c r="R828" s="22" t="str">
        <f>IF(L828="","None",L828)</f>
        <v>WINTER15</v>
      </c>
    </row>
    <row r="829" spans="1:18" x14ac:dyDescent="0.2">
      <c r="A829" s="22" t="s">
        <v>3123</v>
      </c>
      <c r="B829" s="23">
        <v>45071</v>
      </c>
      <c r="C829" s="22" t="s">
        <v>3124</v>
      </c>
      <c r="D829" s="22" t="s">
        <v>64</v>
      </c>
      <c r="E829" s="22">
        <v>2</v>
      </c>
      <c r="F829" s="24">
        <v>639.88</v>
      </c>
      <c r="G829" s="22" t="s">
        <v>950</v>
      </c>
      <c r="H829" s="22" t="s">
        <v>75</v>
      </c>
      <c r="I829" s="22" t="s">
        <v>69</v>
      </c>
      <c r="J829" s="22" t="s">
        <v>3125</v>
      </c>
      <c r="K829" s="22">
        <v>5</v>
      </c>
      <c r="L829" s="22" t="s">
        <v>84</v>
      </c>
      <c r="M829" s="22" t="s">
        <v>89</v>
      </c>
      <c r="N829" s="24">
        <v>1279.76</v>
      </c>
      <c r="O829" s="22">
        <f>YEAR(B829)</f>
        <v>2023</v>
      </c>
      <c r="P829" s="25">
        <f>DATE(YEAR(B829),MONTH(B829),1)</f>
        <v>45047</v>
      </c>
      <c r="Q829" s="22" t="str">
        <f>IF(N829&gt;Summary!$C$17,"Outlier","")</f>
        <v/>
      </c>
      <c r="R829" s="22" t="str">
        <f>IF(L829="","None",L829)</f>
        <v>WINTER15</v>
      </c>
    </row>
    <row r="830" spans="1:18" x14ac:dyDescent="0.2">
      <c r="A830" s="22" t="s">
        <v>3126</v>
      </c>
      <c r="B830" s="23">
        <v>45497</v>
      </c>
      <c r="C830" s="22" t="s">
        <v>3127</v>
      </c>
      <c r="D830" s="22" t="s">
        <v>61</v>
      </c>
      <c r="E830" s="22">
        <v>4</v>
      </c>
      <c r="F830" s="24">
        <v>404.58</v>
      </c>
      <c r="G830" s="22" t="s">
        <v>3128</v>
      </c>
      <c r="H830" s="22" t="s">
        <v>75</v>
      </c>
      <c r="I830" s="22" t="s">
        <v>70</v>
      </c>
      <c r="J830" s="22" t="s">
        <v>3129</v>
      </c>
      <c r="K830" s="22">
        <v>5</v>
      </c>
      <c r="L830" s="22" t="s">
        <v>82</v>
      </c>
      <c r="M830" s="22" t="s">
        <v>89</v>
      </c>
      <c r="N830" s="24">
        <v>1618.32</v>
      </c>
      <c r="O830" s="22">
        <f>YEAR(B830)</f>
        <v>2024</v>
      </c>
      <c r="P830" s="25">
        <f>DATE(YEAR(B830),MONTH(B830),1)</f>
        <v>45474</v>
      </c>
      <c r="Q830" s="22" t="str">
        <f>IF(N830&gt;Summary!$C$17,"Outlier","")</f>
        <v/>
      </c>
      <c r="R830" s="22" t="str">
        <f>IF(L830="","None",L830)</f>
        <v>FREESHIP</v>
      </c>
    </row>
    <row r="831" spans="1:18" x14ac:dyDescent="0.2">
      <c r="A831" s="22" t="s">
        <v>3130</v>
      </c>
      <c r="B831" s="23">
        <v>44962</v>
      </c>
      <c r="C831" s="22" t="s">
        <v>3131</v>
      </c>
      <c r="D831" s="22" t="s">
        <v>65</v>
      </c>
      <c r="E831" s="22">
        <v>1</v>
      </c>
      <c r="F831" s="24">
        <v>76.930000000000007</v>
      </c>
      <c r="G831" s="22" t="s">
        <v>3132</v>
      </c>
      <c r="H831" s="22" t="s">
        <v>77</v>
      </c>
      <c r="I831" s="22" t="s">
        <v>69</v>
      </c>
      <c r="J831" s="22" t="s">
        <v>3133</v>
      </c>
      <c r="K831" s="22">
        <v>6</v>
      </c>
      <c r="L831" s="22" t="s">
        <v>84</v>
      </c>
      <c r="M831" s="22" t="s">
        <v>89</v>
      </c>
      <c r="N831" s="24">
        <v>76.930000000000007</v>
      </c>
      <c r="O831" s="22">
        <f>YEAR(B831)</f>
        <v>2023</v>
      </c>
      <c r="P831" s="25">
        <f>DATE(YEAR(B831),MONTH(B831),1)</f>
        <v>44958</v>
      </c>
      <c r="Q831" s="22" t="str">
        <f>IF(N831&gt;Summary!$C$17,"Outlier","")</f>
        <v/>
      </c>
      <c r="R831" s="22" t="str">
        <f>IF(L831="","None",L831)</f>
        <v>WINTER15</v>
      </c>
    </row>
    <row r="832" spans="1:18" x14ac:dyDescent="0.2">
      <c r="A832" s="22" t="s">
        <v>3134</v>
      </c>
      <c r="B832" s="23">
        <v>45637</v>
      </c>
      <c r="C832" s="22" t="s">
        <v>3135</v>
      </c>
      <c r="D832" s="22" t="s">
        <v>64</v>
      </c>
      <c r="E832" s="22">
        <v>4</v>
      </c>
      <c r="F832" s="24">
        <v>190.64</v>
      </c>
      <c r="G832" s="22" t="s">
        <v>3136</v>
      </c>
      <c r="H832" s="22" t="s">
        <v>75</v>
      </c>
      <c r="I832" s="22" t="s">
        <v>69</v>
      </c>
      <c r="J832" s="22" t="s">
        <v>3137</v>
      </c>
      <c r="K832" s="22">
        <v>5</v>
      </c>
      <c r="L832" s="22" t="s">
        <v>83</v>
      </c>
      <c r="M832" s="22" t="s">
        <v>86</v>
      </c>
      <c r="N832" s="24">
        <v>762.56</v>
      </c>
      <c r="O832" s="22">
        <f>YEAR(B832)</f>
        <v>2024</v>
      </c>
      <c r="P832" s="25">
        <f>DATE(YEAR(B832),MONTH(B832),1)</f>
        <v>45627</v>
      </c>
      <c r="Q832" s="22" t="str">
        <f>IF(N832&gt;Summary!$C$17,"Outlier","")</f>
        <v/>
      </c>
      <c r="R832" s="22" t="str">
        <f>IF(L832="","None",L832)</f>
        <v>SAVE10</v>
      </c>
    </row>
    <row r="833" spans="1:18" x14ac:dyDescent="0.2">
      <c r="A833" s="22" t="s">
        <v>3138</v>
      </c>
      <c r="B833" s="23">
        <v>45278</v>
      </c>
      <c r="C833" s="22" t="s">
        <v>3139</v>
      </c>
      <c r="D833" s="22" t="s">
        <v>62</v>
      </c>
      <c r="E833" s="22">
        <v>2</v>
      </c>
      <c r="F833" s="24">
        <v>88.73</v>
      </c>
      <c r="G833" s="22" t="s">
        <v>2445</v>
      </c>
      <c r="H833" s="22" t="s">
        <v>79</v>
      </c>
      <c r="I833" s="22" t="s">
        <v>71</v>
      </c>
      <c r="J833" s="22" t="s">
        <v>3140</v>
      </c>
      <c r="K833" s="22">
        <v>5</v>
      </c>
      <c r="L833" s="22"/>
      <c r="M833" s="22" t="s">
        <v>88</v>
      </c>
      <c r="N833" s="24">
        <v>177.46</v>
      </c>
      <c r="O833" s="22">
        <f>YEAR(B833)</f>
        <v>2023</v>
      </c>
      <c r="P833" s="25">
        <f>DATE(YEAR(B833),MONTH(B833),1)</f>
        <v>45261</v>
      </c>
      <c r="Q833" s="22" t="str">
        <f>IF(N833&gt;Summary!$C$17,"Outlier","")</f>
        <v/>
      </c>
      <c r="R833" s="22" t="str">
        <f>IF(L833="","None",L833)</f>
        <v>None</v>
      </c>
    </row>
    <row r="834" spans="1:18" x14ac:dyDescent="0.2">
      <c r="A834" s="22" t="s">
        <v>3141</v>
      </c>
      <c r="B834" s="23">
        <v>45363</v>
      </c>
      <c r="C834" s="22" t="s">
        <v>3142</v>
      </c>
      <c r="D834" s="22" t="s">
        <v>61</v>
      </c>
      <c r="E834" s="22">
        <v>5</v>
      </c>
      <c r="F834" s="24">
        <v>485.71</v>
      </c>
      <c r="G834" s="22" t="s">
        <v>171</v>
      </c>
      <c r="H834" s="22" t="s">
        <v>79</v>
      </c>
      <c r="I834" s="22" t="s">
        <v>71</v>
      </c>
      <c r="J834" s="22" t="s">
        <v>3143</v>
      </c>
      <c r="K834" s="22">
        <v>10</v>
      </c>
      <c r="L834" s="22" t="s">
        <v>83</v>
      </c>
      <c r="M834" s="22" t="s">
        <v>90</v>
      </c>
      <c r="N834" s="24">
        <v>2428.5500000000002</v>
      </c>
      <c r="O834" s="22">
        <f>YEAR(B834)</f>
        <v>2024</v>
      </c>
      <c r="P834" s="25">
        <f>DATE(YEAR(B834),MONTH(B834),1)</f>
        <v>45352</v>
      </c>
      <c r="Q834" s="22" t="str">
        <f>IF(N834&gt;Summary!$C$17,"Outlier","")</f>
        <v/>
      </c>
      <c r="R834" s="22" t="str">
        <f>IF(L834="","None",L834)</f>
        <v>SAVE10</v>
      </c>
    </row>
    <row r="835" spans="1:18" x14ac:dyDescent="0.2">
      <c r="A835" s="22" t="s">
        <v>3144</v>
      </c>
      <c r="B835" s="23">
        <v>45730</v>
      </c>
      <c r="C835" s="22" t="s">
        <v>3145</v>
      </c>
      <c r="D835" s="22" t="s">
        <v>67</v>
      </c>
      <c r="E835" s="22">
        <v>5</v>
      </c>
      <c r="F835" s="24">
        <v>78.290000000000006</v>
      </c>
      <c r="G835" s="22" t="s">
        <v>3146</v>
      </c>
      <c r="H835" s="22" t="s">
        <v>76</v>
      </c>
      <c r="I835" s="22" t="s">
        <v>70</v>
      </c>
      <c r="J835" s="22" t="s">
        <v>3147</v>
      </c>
      <c r="K835" s="22">
        <v>5</v>
      </c>
      <c r="L835" s="22" t="s">
        <v>84</v>
      </c>
      <c r="M835" s="22" t="s">
        <v>90</v>
      </c>
      <c r="N835" s="24">
        <v>391.45</v>
      </c>
      <c r="O835" s="22">
        <f>YEAR(B835)</f>
        <v>2025</v>
      </c>
      <c r="P835" s="25">
        <f>DATE(YEAR(B835),MONTH(B835),1)</f>
        <v>45717</v>
      </c>
      <c r="Q835" s="22" t="str">
        <f>IF(N835&gt;Summary!$C$17,"Outlier","")</f>
        <v/>
      </c>
      <c r="R835" s="22" t="str">
        <f>IF(L835="","None",L835)</f>
        <v>WINTER15</v>
      </c>
    </row>
    <row r="836" spans="1:18" x14ac:dyDescent="0.2">
      <c r="A836" s="22" t="s">
        <v>3148</v>
      </c>
      <c r="B836" s="23">
        <v>45393</v>
      </c>
      <c r="C836" s="22" t="s">
        <v>3149</v>
      </c>
      <c r="D836" s="22" t="s">
        <v>62</v>
      </c>
      <c r="E836" s="22">
        <v>5</v>
      </c>
      <c r="F836" s="24">
        <v>22.14</v>
      </c>
      <c r="G836" s="22" t="s">
        <v>1041</v>
      </c>
      <c r="H836" s="22" t="s">
        <v>75</v>
      </c>
      <c r="I836" s="22" t="s">
        <v>72</v>
      </c>
      <c r="J836" s="22" t="s">
        <v>3150</v>
      </c>
      <c r="K836" s="22">
        <v>10</v>
      </c>
      <c r="L836" s="22"/>
      <c r="M836" s="22" t="s">
        <v>89</v>
      </c>
      <c r="N836" s="24">
        <v>110.7</v>
      </c>
      <c r="O836" s="22">
        <f>YEAR(B836)</f>
        <v>2024</v>
      </c>
      <c r="P836" s="25">
        <f>DATE(YEAR(B836),MONTH(B836),1)</f>
        <v>45383</v>
      </c>
      <c r="Q836" s="22" t="str">
        <f>IF(N836&gt;Summary!$C$17,"Outlier","")</f>
        <v/>
      </c>
      <c r="R836" s="22" t="str">
        <f>IF(L836="","None",L836)</f>
        <v>None</v>
      </c>
    </row>
    <row r="837" spans="1:18" x14ac:dyDescent="0.2">
      <c r="A837" s="22" t="s">
        <v>3151</v>
      </c>
      <c r="B837" s="23">
        <v>45377</v>
      </c>
      <c r="C837" s="22" t="s">
        <v>3152</v>
      </c>
      <c r="D837" s="22" t="s">
        <v>66</v>
      </c>
      <c r="E837" s="22">
        <v>1</v>
      </c>
      <c r="F837" s="24">
        <v>679.65</v>
      </c>
      <c r="G837" s="22" t="s">
        <v>3153</v>
      </c>
      <c r="H837" s="22" t="s">
        <v>77</v>
      </c>
      <c r="I837" s="22" t="s">
        <v>70</v>
      </c>
      <c r="J837" s="22" t="s">
        <v>3154</v>
      </c>
      <c r="K837" s="22">
        <v>6</v>
      </c>
      <c r="L837" s="22" t="s">
        <v>82</v>
      </c>
      <c r="M837" s="22" t="s">
        <v>88</v>
      </c>
      <c r="N837" s="24">
        <v>679.65</v>
      </c>
      <c r="O837" s="22">
        <f>YEAR(B837)</f>
        <v>2024</v>
      </c>
      <c r="P837" s="25">
        <f>DATE(YEAR(B837),MONTH(B837),1)</f>
        <v>45352</v>
      </c>
      <c r="Q837" s="22" t="str">
        <f>IF(N837&gt;Summary!$C$17,"Outlier","")</f>
        <v/>
      </c>
      <c r="R837" s="22" t="str">
        <f>IF(L837="","None",L837)</f>
        <v>FREESHIP</v>
      </c>
    </row>
    <row r="838" spans="1:18" x14ac:dyDescent="0.2">
      <c r="A838" s="22" t="s">
        <v>3155</v>
      </c>
      <c r="B838" s="23">
        <v>44959</v>
      </c>
      <c r="C838" s="22" t="s">
        <v>3156</v>
      </c>
      <c r="D838" s="22" t="s">
        <v>67</v>
      </c>
      <c r="E838" s="22">
        <v>1</v>
      </c>
      <c r="F838" s="24">
        <v>178.44</v>
      </c>
      <c r="G838" s="22" t="s">
        <v>2519</v>
      </c>
      <c r="H838" s="22" t="s">
        <v>76</v>
      </c>
      <c r="I838" s="22" t="s">
        <v>73</v>
      </c>
      <c r="J838" s="22" t="s">
        <v>3157</v>
      </c>
      <c r="K838" s="22">
        <v>2</v>
      </c>
      <c r="L838" s="22" t="s">
        <v>82</v>
      </c>
      <c r="M838" s="22" t="s">
        <v>88</v>
      </c>
      <c r="N838" s="24">
        <v>178.44</v>
      </c>
      <c r="O838" s="22">
        <f>YEAR(B838)</f>
        <v>2023</v>
      </c>
      <c r="P838" s="25">
        <f>DATE(YEAR(B838),MONTH(B838),1)</f>
        <v>44958</v>
      </c>
      <c r="Q838" s="22" t="str">
        <f>IF(N838&gt;Summary!$C$17,"Outlier","")</f>
        <v/>
      </c>
      <c r="R838" s="22" t="str">
        <f>IF(L838="","None",L838)</f>
        <v>FREESHIP</v>
      </c>
    </row>
    <row r="839" spans="1:18" x14ac:dyDescent="0.2">
      <c r="A839" s="22" t="s">
        <v>3158</v>
      </c>
      <c r="B839" s="23">
        <v>45822</v>
      </c>
      <c r="C839" s="22" t="s">
        <v>3159</v>
      </c>
      <c r="D839" s="22" t="s">
        <v>61</v>
      </c>
      <c r="E839" s="22">
        <v>5</v>
      </c>
      <c r="F839" s="24">
        <v>655.55</v>
      </c>
      <c r="G839" s="22" t="s">
        <v>2364</v>
      </c>
      <c r="H839" s="22" t="s">
        <v>79</v>
      </c>
      <c r="I839" s="22" t="s">
        <v>69</v>
      </c>
      <c r="J839" s="22" t="s">
        <v>3160</v>
      </c>
      <c r="K839" s="22">
        <v>5</v>
      </c>
      <c r="L839" s="22"/>
      <c r="M839" s="22" t="s">
        <v>86</v>
      </c>
      <c r="N839" s="24">
        <v>3277.75</v>
      </c>
      <c r="O839" s="22">
        <f>YEAR(B839)</f>
        <v>2025</v>
      </c>
      <c r="P839" s="25">
        <f>DATE(YEAR(B839),MONTH(B839),1)</f>
        <v>45809</v>
      </c>
      <c r="Q839" s="22" t="str">
        <f>IF(N839&gt;Summary!$C$17,"Outlier","")</f>
        <v/>
      </c>
      <c r="R839" s="22" t="str">
        <f>IF(L839="","None",L839)</f>
        <v>None</v>
      </c>
    </row>
    <row r="840" spans="1:18" x14ac:dyDescent="0.2">
      <c r="A840" s="22" t="s">
        <v>3161</v>
      </c>
      <c r="B840" s="23">
        <v>45393</v>
      </c>
      <c r="C840" s="22" t="s">
        <v>3162</v>
      </c>
      <c r="D840" s="22" t="s">
        <v>66</v>
      </c>
      <c r="E840" s="22">
        <v>4</v>
      </c>
      <c r="F840" s="24">
        <v>577.08000000000004</v>
      </c>
      <c r="G840" s="22" t="s">
        <v>394</v>
      </c>
      <c r="H840" s="22" t="s">
        <v>79</v>
      </c>
      <c r="I840" s="22" t="s">
        <v>71</v>
      </c>
      <c r="J840" s="22" t="s">
        <v>3163</v>
      </c>
      <c r="K840" s="22">
        <v>8</v>
      </c>
      <c r="L840" s="22"/>
      <c r="M840" s="22" t="s">
        <v>87</v>
      </c>
      <c r="N840" s="24">
        <v>2308.3200000000002</v>
      </c>
      <c r="O840" s="22">
        <f>YEAR(B840)</f>
        <v>2024</v>
      </c>
      <c r="P840" s="25">
        <f>DATE(YEAR(B840),MONTH(B840),1)</f>
        <v>45383</v>
      </c>
      <c r="Q840" s="22" t="str">
        <f>IF(N840&gt;Summary!$C$17,"Outlier","")</f>
        <v/>
      </c>
      <c r="R840" s="22" t="str">
        <f>IF(L840="","None",L840)</f>
        <v>None</v>
      </c>
    </row>
    <row r="841" spans="1:18" x14ac:dyDescent="0.2">
      <c r="A841" s="22" t="s">
        <v>3164</v>
      </c>
      <c r="B841" s="23">
        <v>45162</v>
      </c>
      <c r="C841" s="22" t="s">
        <v>3165</v>
      </c>
      <c r="D841" s="22" t="s">
        <v>61</v>
      </c>
      <c r="E841" s="22">
        <v>3</v>
      </c>
      <c r="F841" s="24">
        <v>197.97</v>
      </c>
      <c r="G841" s="22" t="s">
        <v>2841</v>
      </c>
      <c r="H841" s="22" t="s">
        <v>79</v>
      </c>
      <c r="I841" s="22" t="s">
        <v>73</v>
      </c>
      <c r="J841" s="22" t="s">
        <v>3166</v>
      </c>
      <c r="K841" s="22">
        <v>5</v>
      </c>
      <c r="L841" s="22"/>
      <c r="M841" s="22" t="s">
        <v>88</v>
      </c>
      <c r="N841" s="24">
        <v>593.91</v>
      </c>
      <c r="O841" s="22">
        <f>YEAR(B841)</f>
        <v>2023</v>
      </c>
      <c r="P841" s="25">
        <f>DATE(YEAR(B841),MONTH(B841),1)</f>
        <v>45139</v>
      </c>
      <c r="Q841" s="22" t="str">
        <f>IF(N841&gt;Summary!$C$17,"Outlier","")</f>
        <v/>
      </c>
      <c r="R841" s="22" t="str">
        <f>IF(L841="","None",L841)</f>
        <v>None</v>
      </c>
    </row>
    <row r="842" spans="1:18" x14ac:dyDescent="0.2">
      <c r="A842" s="22" t="s">
        <v>3167</v>
      </c>
      <c r="B842" s="23">
        <v>45305</v>
      </c>
      <c r="C842" s="22" t="s">
        <v>3168</v>
      </c>
      <c r="D842" s="22" t="s">
        <v>61</v>
      </c>
      <c r="E842" s="22">
        <v>3</v>
      </c>
      <c r="F842" s="24">
        <v>411.95</v>
      </c>
      <c r="G842" s="22" t="s">
        <v>1889</v>
      </c>
      <c r="H842" s="22" t="s">
        <v>76</v>
      </c>
      <c r="I842" s="22" t="s">
        <v>69</v>
      </c>
      <c r="J842" s="22" t="s">
        <v>3169</v>
      </c>
      <c r="K842" s="22">
        <v>7</v>
      </c>
      <c r="L842" s="22" t="s">
        <v>82</v>
      </c>
      <c r="M842" s="22" t="s">
        <v>90</v>
      </c>
      <c r="N842" s="24">
        <v>1235.8499999999999</v>
      </c>
      <c r="O842" s="22">
        <f>YEAR(B842)</f>
        <v>2024</v>
      </c>
      <c r="P842" s="25">
        <f>DATE(YEAR(B842),MONTH(B842),1)</f>
        <v>45292</v>
      </c>
      <c r="Q842" s="22" t="str">
        <f>IF(N842&gt;Summary!$C$17,"Outlier","")</f>
        <v/>
      </c>
      <c r="R842" s="22" t="str">
        <f>IF(L842="","None",L842)</f>
        <v>FREESHIP</v>
      </c>
    </row>
    <row r="843" spans="1:18" x14ac:dyDescent="0.2">
      <c r="A843" s="22" t="s">
        <v>3170</v>
      </c>
      <c r="B843" s="23">
        <v>45554</v>
      </c>
      <c r="C843" s="22" t="s">
        <v>3171</v>
      </c>
      <c r="D843" s="22" t="s">
        <v>62</v>
      </c>
      <c r="E843" s="22">
        <v>2</v>
      </c>
      <c r="F843" s="24">
        <v>443.22</v>
      </c>
      <c r="G843" s="22" t="s">
        <v>3172</v>
      </c>
      <c r="H843" s="22" t="s">
        <v>76</v>
      </c>
      <c r="I843" s="22" t="s">
        <v>69</v>
      </c>
      <c r="J843" s="22" t="s">
        <v>3173</v>
      </c>
      <c r="K843" s="22">
        <v>5</v>
      </c>
      <c r="L843" s="22"/>
      <c r="M843" s="22" t="s">
        <v>87</v>
      </c>
      <c r="N843" s="24">
        <v>886.44</v>
      </c>
      <c r="O843" s="22">
        <f>YEAR(B843)</f>
        <v>2024</v>
      </c>
      <c r="P843" s="25">
        <f>DATE(YEAR(B843),MONTH(B843),1)</f>
        <v>45536</v>
      </c>
      <c r="Q843" s="22" t="str">
        <f>IF(N843&gt;Summary!$C$17,"Outlier","")</f>
        <v/>
      </c>
      <c r="R843" s="22" t="str">
        <f>IF(L843="","None",L843)</f>
        <v>None</v>
      </c>
    </row>
    <row r="844" spans="1:18" x14ac:dyDescent="0.2">
      <c r="A844" s="22" t="s">
        <v>3174</v>
      </c>
      <c r="B844" s="23">
        <v>45784</v>
      </c>
      <c r="C844" s="22" t="s">
        <v>3175</v>
      </c>
      <c r="D844" s="22" t="s">
        <v>63</v>
      </c>
      <c r="E844" s="22">
        <v>3</v>
      </c>
      <c r="F844" s="24">
        <v>364.14</v>
      </c>
      <c r="G844" s="22" t="s">
        <v>2652</v>
      </c>
      <c r="H844" s="22" t="s">
        <v>79</v>
      </c>
      <c r="I844" s="22" t="s">
        <v>71</v>
      </c>
      <c r="J844" s="22" t="s">
        <v>3176</v>
      </c>
      <c r="K844" s="22">
        <v>7</v>
      </c>
      <c r="L844" s="22" t="s">
        <v>84</v>
      </c>
      <c r="M844" s="22" t="s">
        <v>90</v>
      </c>
      <c r="N844" s="24">
        <v>1092.42</v>
      </c>
      <c r="O844" s="22">
        <f>YEAR(B844)</f>
        <v>2025</v>
      </c>
      <c r="P844" s="25">
        <f>DATE(YEAR(B844),MONTH(B844),1)</f>
        <v>45778</v>
      </c>
      <c r="Q844" s="22" t="str">
        <f>IF(N844&gt;Summary!$C$17,"Outlier","")</f>
        <v/>
      </c>
      <c r="R844" s="22" t="str">
        <f>IF(L844="","None",L844)</f>
        <v>WINTER15</v>
      </c>
    </row>
    <row r="845" spans="1:18" x14ac:dyDescent="0.2">
      <c r="A845" s="22" t="s">
        <v>3177</v>
      </c>
      <c r="B845" s="23">
        <v>45790</v>
      </c>
      <c r="C845" s="22" t="s">
        <v>3178</v>
      </c>
      <c r="D845" s="22" t="s">
        <v>66</v>
      </c>
      <c r="E845" s="22">
        <v>3</v>
      </c>
      <c r="F845" s="24">
        <v>430.06</v>
      </c>
      <c r="G845" s="22" t="s">
        <v>3179</v>
      </c>
      <c r="H845" s="22" t="s">
        <v>78</v>
      </c>
      <c r="I845" s="22" t="s">
        <v>73</v>
      </c>
      <c r="J845" s="22" t="s">
        <v>3180</v>
      </c>
      <c r="K845" s="22">
        <v>8</v>
      </c>
      <c r="L845" s="22" t="s">
        <v>82</v>
      </c>
      <c r="M845" s="22" t="s">
        <v>89</v>
      </c>
      <c r="N845" s="24">
        <v>1290.18</v>
      </c>
      <c r="O845" s="22">
        <f>YEAR(B845)</f>
        <v>2025</v>
      </c>
      <c r="P845" s="25">
        <f>DATE(YEAR(B845),MONTH(B845),1)</f>
        <v>45778</v>
      </c>
      <c r="Q845" s="22" t="str">
        <f>IF(N845&gt;Summary!$C$17,"Outlier","")</f>
        <v/>
      </c>
      <c r="R845" s="22" t="str">
        <f>IF(L845="","None",L845)</f>
        <v>FREESHIP</v>
      </c>
    </row>
    <row r="846" spans="1:18" x14ac:dyDescent="0.2">
      <c r="A846" s="22" t="s">
        <v>3181</v>
      </c>
      <c r="B846" s="23">
        <v>45630</v>
      </c>
      <c r="C846" s="22" t="s">
        <v>3182</v>
      </c>
      <c r="D846" s="22" t="s">
        <v>61</v>
      </c>
      <c r="E846" s="22">
        <v>1</v>
      </c>
      <c r="F846" s="24">
        <v>320.92</v>
      </c>
      <c r="G846" s="22" t="s">
        <v>3183</v>
      </c>
      <c r="H846" s="22" t="s">
        <v>79</v>
      </c>
      <c r="I846" s="22" t="s">
        <v>72</v>
      </c>
      <c r="J846" s="22" t="s">
        <v>3184</v>
      </c>
      <c r="K846" s="22">
        <v>5</v>
      </c>
      <c r="L846" s="22" t="s">
        <v>82</v>
      </c>
      <c r="M846" s="22" t="s">
        <v>87</v>
      </c>
      <c r="N846" s="24">
        <v>320.92</v>
      </c>
      <c r="O846" s="22">
        <f>YEAR(B846)</f>
        <v>2024</v>
      </c>
      <c r="P846" s="25">
        <f>DATE(YEAR(B846),MONTH(B846),1)</f>
        <v>45627</v>
      </c>
      <c r="Q846" s="22" t="str">
        <f>IF(N846&gt;Summary!$C$17,"Outlier","")</f>
        <v/>
      </c>
      <c r="R846" s="22" t="str">
        <f>IF(L846="","None",L846)</f>
        <v>FREESHIP</v>
      </c>
    </row>
    <row r="847" spans="1:18" x14ac:dyDescent="0.2">
      <c r="A847" s="22" t="s">
        <v>3185</v>
      </c>
      <c r="B847" s="23">
        <v>45207</v>
      </c>
      <c r="C847" s="22" t="s">
        <v>3186</v>
      </c>
      <c r="D847" s="22" t="s">
        <v>67</v>
      </c>
      <c r="E847" s="22">
        <v>3</v>
      </c>
      <c r="F847" s="24">
        <v>107.36</v>
      </c>
      <c r="G847" s="22" t="s">
        <v>3187</v>
      </c>
      <c r="H847" s="22" t="s">
        <v>78</v>
      </c>
      <c r="I847" s="22" t="s">
        <v>69</v>
      </c>
      <c r="J847" s="22" t="s">
        <v>3188</v>
      </c>
      <c r="K847" s="22">
        <v>5</v>
      </c>
      <c r="L847" s="22" t="s">
        <v>82</v>
      </c>
      <c r="M847" s="22" t="s">
        <v>88</v>
      </c>
      <c r="N847" s="24">
        <v>322.08</v>
      </c>
      <c r="O847" s="22">
        <f>YEAR(B847)</f>
        <v>2023</v>
      </c>
      <c r="P847" s="25">
        <f>DATE(YEAR(B847),MONTH(B847),1)</f>
        <v>45200</v>
      </c>
      <c r="Q847" s="22" t="str">
        <f>IF(N847&gt;Summary!$C$17,"Outlier","")</f>
        <v/>
      </c>
      <c r="R847" s="22" t="str">
        <f>IF(L847="","None",L847)</f>
        <v>FREESHIP</v>
      </c>
    </row>
    <row r="848" spans="1:18" x14ac:dyDescent="0.2">
      <c r="A848" s="22" t="s">
        <v>3189</v>
      </c>
      <c r="B848" s="23">
        <v>45477</v>
      </c>
      <c r="C848" s="22" t="s">
        <v>3190</v>
      </c>
      <c r="D848" s="22" t="s">
        <v>66</v>
      </c>
      <c r="E848" s="22">
        <v>2</v>
      </c>
      <c r="F848" s="24">
        <v>359.86</v>
      </c>
      <c r="G848" s="22" t="s">
        <v>3191</v>
      </c>
      <c r="H848" s="22" t="s">
        <v>77</v>
      </c>
      <c r="I848" s="22" t="s">
        <v>73</v>
      </c>
      <c r="J848" s="22" t="s">
        <v>3192</v>
      </c>
      <c r="K848" s="22">
        <v>4</v>
      </c>
      <c r="L848" s="22"/>
      <c r="M848" s="22" t="s">
        <v>90</v>
      </c>
      <c r="N848" s="24">
        <v>719.72</v>
      </c>
      <c r="O848" s="22">
        <f>YEAR(B848)</f>
        <v>2024</v>
      </c>
      <c r="P848" s="25">
        <f>DATE(YEAR(B848),MONTH(B848),1)</f>
        <v>45474</v>
      </c>
      <c r="Q848" s="22" t="str">
        <f>IF(N848&gt;Summary!$C$17,"Outlier","")</f>
        <v/>
      </c>
      <c r="R848" s="22" t="str">
        <f>IF(L848="","None",L848)</f>
        <v>None</v>
      </c>
    </row>
    <row r="849" spans="1:18" x14ac:dyDescent="0.2">
      <c r="A849" s="22" t="s">
        <v>3193</v>
      </c>
      <c r="B849" s="23">
        <v>45614</v>
      </c>
      <c r="C849" s="22" t="s">
        <v>3194</v>
      </c>
      <c r="D849" s="22" t="s">
        <v>62</v>
      </c>
      <c r="E849" s="22">
        <v>4</v>
      </c>
      <c r="F849" s="24">
        <v>434.23</v>
      </c>
      <c r="G849" s="22" t="s">
        <v>1238</v>
      </c>
      <c r="H849" s="22" t="s">
        <v>79</v>
      </c>
      <c r="I849" s="22" t="s">
        <v>70</v>
      </c>
      <c r="J849" s="22" t="s">
        <v>3195</v>
      </c>
      <c r="K849" s="22">
        <v>8</v>
      </c>
      <c r="L849" s="22" t="s">
        <v>82</v>
      </c>
      <c r="M849" s="22" t="s">
        <v>86</v>
      </c>
      <c r="N849" s="24">
        <v>1736.92</v>
      </c>
      <c r="O849" s="22">
        <f>YEAR(B849)</f>
        <v>2024</v>
      </c>
      <c r="P849" s="25">
        <f>DATE(YEAR(B849),MONTH(B849),1)</f>
        <v>45597</v>
      </c>
      <c r="Q849" s="22" t="str">
        <f>IF(N849&gt;Summary!$C$17,"Outlier","")</f>
        <v/>
      </c>
      <c r="R849" s="22" t="str">
        <f>IF(L849="","None",L849)</f>
        <v>FREESHIP</v>
      </c>
    </row>
    <row r="850" spans="1:18" x14ac:dyDescent="0.2">
      <c r="A850" s="22" t="s">
        <v>3196</v>
      </c>
      <c r="B850" s="23">
        <v>44927</v>
      </c>
      <c r="C850" s="22" t="s">
        <v>3197</v>
      </c>
      <c r="D850" s="22" t="s">
        <v>61</v>
      </c>
      <c r="E850" s="22">
        <v>2</v>
      </c>
      <c r="F850" s="24">
        <v>645.85</v>
      </c>
      <c r="G850" s="22" t="s">
        <v>355</v>
      </c>
      <c r="H850" s="22" t="s">
        <v>79</v>
      </c>
      <c r="I850" s="22" t="s">
        <v>70</v>
      </c>
      <c r="J850" s="22" t="s">
        <v>3198</v>
      </c>
      <c r="K850" s="22">
        <v>5</v>
      </c>
      <c r="L850" s="22"/>
      <c r="M850" s="22" t="s">
        <v>90</v>
      </c>
      <c r="N850" s="24">
        <v>1291.7</v>
      </c>
      <c r="O850" s="22">
        <f>YEAR(B850)</f>
        <v>2023</v>
      </c>
      <c r="P850" s="25">
        <f>DATE(YEAR(B850),MONTH(B850),1)</f>
        <v>44927</v>
      </c>
      <c r="Q850" s="22" t="str">
        <f>IF(N850&gt;Summary!$C$17,"Outlier","")</f>
        <v/>
      </c>
      <c r="R850" s="22" t="str">
        <f>IF(L850="","None",L850)</f>
        <v>None</v>
      </c>
    </row>
    <row r="851" spans="1:18" x14ac:dyDescent="0.2">
      <c r="A851" s="22" t="s">
        <v>3199</v>
      </c>
      <c r="B851" s="23">
        <v>45817</v>
      </c>
      <c r="C851" s="22" t="s">
        <v>3200</v>
      </c>
      <c r="D851" s="22" t="s">
        <v>62</v>
      </c>
      <c r="E851" s="22">
        <v>4</v>
      </c>
      <c r="F851" s="24">
        <v>214.35</v>
      </c>
      <c r="G851" s="22" t="s">
        <v>3114</v>
      </c>
      <c r="H851" s="22" t="s">
        <v>77</v>
      </c>
      <c r="I851" s="22" t="s">
        <v>73</v>
      </c>
      <c r="J851" s="22" t="s">
        <v>3201</v>
      </c>
      <c r="K851" s="22">
        <v>7</v>
      </c>
      <c r="L851" s="22" t="s">
        <v>84</v>
      </c>
      <c r="M851" s="22" t="s">
        <v>90</v>
      </c>
      <c r="N851" s="24">
        <v>857.4</v>
      </c>
      <c r="O851" s="22">
        <f>YEAR(B851)</f>
        <v>2025</v>
      </c>
      <c r="P851" s="25">
        <f>DATE(YEAR(B851),MONTH(B851),1)</f>
        <v>45809</v>
      </c>
      <c r="Q851" s="22" t="str">
        <f>IF(N851&gt;Summary!$C$17,"Outlier","")</f>
        <v/>
      </c>
      <c r="R851" s="22" t="str">
        <f>IF(L851="","None",L851)</f>
        <v>WINTER15</v>
      </c>
    </row>
    <row r="852" spans="1:18" x14ac:dyDescent="0.2">
      <c r="A852" s="22" t="s">
        <v>3202</v>
      </c>
      <c r="B852" s="23">
        <v>45774</v>
      </c>
      <c r="C852" s="22" t="s">
        <v>3203</v>
      </c>
      <c r="D852" s="22" t="s">
        <v>65</v>
      </c>
      <c r="E852" s="22">
        <v>3</v>
      </c>
      <c r="F852" s="24">
        <v>638.5</v>
      </c>
      <c r="G852" s="22" t="s">
        <v>2757</v>
      </c>
      <c r="H852" s="22" t="s">
        <v>77</v>
      </c>
      <c r="I852" s="22" t="s">
        <v>73</v>
      </c>
      <c r="J852" s="22" t="s">
        <v>3204</v>
      </c>
      <c r="K852" s="22">
        <v>4</v>
      </c>
      <c r="L852" s="22" t="s">
        <v>82</v>
      </c>
      <c r="M852" s="22" t="s">
        <v>89</v>
      </c>
      <c r="N852" s="24">
        <v>1915.5</v>
      </c>
      <c r="O852" s="22">
        <f>YEAR(B852)</f>
        <v>2025</v>
      </c>
      <c r="P852" s="25">
        <f>DATE(YEAR(B852),MONTH(B852),1)</f>
        <v>45748</v>
      </c>
      <c r="Q852" s="22" t="str">
        <f>IF(N852&gt;Summary!$C$17,"Outlier","")</f>
        <v/>
      </c>
      <c r="R852" s="22" t="str">
        <f>IF(L852="","None",L852)</f>
        <v>FREESHIP</v>
      </c>
    </row>
    <row r="853" spans="1:18" x14ac:dyDescent="0.2">
      <c r="A853" s="22" t="s">
        <v>3205</v>
      </c>
      <c r="B853" s="23">
        <v>45272</v>
      </c>
      <c r="C853" s="22" t="s">
        <v>3206</v>
      </c>
      <c r="D853" s="22" t="s">
        <v>63</v>
      </c>
      <c r="E853" s="22">
        <v>1</v>
      </c>
      <c r="F853" s="24">
        <v>365.57</v>
      </c>
      <c r="G853" s="22" t="s">
        <v>425</v>
      </c>
      <c r="H853" s="22" t="s">
        <v>79</v>
      </c>
      <c r="I853" s="22" t="s">
        <v>73</v>
      </c>
      <c r="J853" s="22" t="s">
        <v>3207</v>
      </c>
      <c r="K853" s="22">
        <v>5</v>
      </c>
      <c r="L853" s="22" t="s">
        <v>83</v>
      </c>
      <c r="M853" s="22" t="s">
        <v>86</v>
      </c>
      <c r="N853" s="24">
        <v>365.57</v>
      </c>
      <c r="O853" s="22">
        <f>YEAR(B853)</f>
        <v>2023</v>
      </c>
      <c r="P853" s="25">
        <f>DATE(YEAR(B853),MONTH(B853),1)</f>
        <v>45261</v>
      </c>
      <c r="Q853" s="22" t="str">
        <f>IF(N853&gt;Summary!$C$17,"Outlier","")</f>
        <v/>
      </c>
      <c r="R853" s="22" t="str">
        <f>IF(L853="","None",L853)</f>
        <v>SAVE10</v>
      </c>
    </row>
    <row r="854" spans="1:18" x14ac:dyDescent="0.2">
      <c r="A854" s="22" t="s">
        <v>3208</v>
      </c>
      <c r="B854" s="23">
        <v>45589</v>
      </c>
      <c r="C854" s="22" t="s">
        <v>3209</v>
      </c>
      <c r="D854" s="22" t="s">
        <v>66</v>
      </c>
      <c r="E854" s="22">
        <v>3</v>
      </c>
      <c r="F854" s="24">
        <v>568.04999999999995</v>
      </c>
      <c r="G854" s="22" t="s">
        <v>3210</v>
      </c>
      <c r="H854" s="22" t="s">
        <v>78</v>
      </c>
      <c r="I854" s="22" t="s">
        <v>71</v>
      </c>
      <c r="J854" s="22" t="s">
        <v>3211</v>
      </c>
      <c r="K854" s="22">
        <v>6</v>
      </c>
      <c r="L854" s="22" t="s">
        <v>83</v>
      </c>
      <c r="M854" s="22" t="s">
        <v>88</v>
      </c>
      <c r="N854" s="24">
        <v>1704.15</v>
      </c>
      <c r="O854" s="22">
        <f>YEAR(B854)</f>
        <v>2024</v>
      </c>
      <c r="P854" s="25">
        <f>DATE(YEAR(B854),MONTH(B854),1)</f>
        <v>45566</v>
      </c>
      <c r="Q854" s="22" t="str">
        <f>IF(N854&gt;Summary!$C$17,"Outlier","")</f>
        <v/>
      </c>
      <c r="R854" s="22" t="str">
        <f>IF(L854="","None",L854)</f>
        <v>SAVE10</v>
      </c>
    </row>
    <row r="855" spans="1:18" x14ac:dyDescent="0.2">
      <c r="A855" s="22" t="s">
        <v>3212</v>
      </c>
      <c r="B855" s="23">
        <v>45215</v>
      </c>
      <c r="C855" s="22" t="s">
        <v>3213</v>
      </c>
      <c r="D855" s="22" t="s">
        <v>62</v>
      </c>
      <c r="E855" s="22">
        <v>3</v>
      </c>
      <c r="F855" s="24">
        <v>490.01</v>
      </c>
      <c r="G855" s="22" t="s">
        <v>1271</v>
      </c>
      <c r="H855" s="22" t="s">
        <v>75</v>
      </c>
      <c r="I855" s="22" t="s">
        <v>72</v>
      </c>
      <c r="J855" s="22" t="s">
        <v>3214</v>
      </c>
      <c r="K855" s="22">
        <v>4</v>
      </c>
      <c r="L855" s="22" t="s">
        <v>83</v>
      </c>
      <c r="M855" s="22" t="s">
        <v>87</v>
      </c>
      <c r="N855" s="24">
        <v>1470.03</v>
      </c>
      <c r="O855" s="22">
        <f>YEAR(B855)</f>
        <v>2023</v>
      </c>
      <c r="P855" s="25">
        <f>DATE(YEAR(B855),MONTH(B855),1)</f>
        <v>45200</v>
      </c>
      <c r="Q855" s="22" t="str">
        <f>IF(N855&gt;Summary!$C$17,"Outlier","")</f>
        <v/>
      </c>
      <c r="R855" s="22" t="str">
        <f>IF(L855="","None",L855)</f>
        <v>SAVE10</v>
      </c>
    </row>
    <row r="856" spans="1:18" x14ac:dyDescent="0.2">
      <c r="A856" s="22" t="s">
        <v>3215</v>
      </c>
      <c r="B856" s="23">
        <v>45821</v>
      </c>
      <c r="C856" s="22" t="s">
        <v>3216</v>
      </c>
      <c r="D856" s="22" t="s">
        <v>63</v>
      </c>
      <c r="E856" s="22">
        <v>3</v>
      </c>
      <c r="F856" s="24">
        <v>372.6</v>
      </c>
      <c r="G856" s="22" t="s">
        <v>1806</v>
      </c>
      <c r="H856" s="22" t="s">
        <v>76</v>
      </c>
      <c r="I856" s="22" t="s">
        <v>69</v>
      </c>
      <c r="J856" s="22" t="s">
        <v>3217</v>
      </c>
      <c r="K856" s="22">
        <v>7</v>
      </c>
      <c r="L856" s="22" t="s">
        <v>84</v>
      </c>
      <c r="M856" s="22" t="s">
        <v>90</v>
      </c>
      <c r="N856" s="24">
        <v>1117.8</v>
      </c>
      <c r="O856" s="22">
        <f>YEAR(B856)</f>
        <v>2025</v>
      </c>
      <c r="P856" s="25">
        <f>DATE(YEAR(B856),MONTH(B856),1)</f>
        <v>45809</v>
      </c>
      <c r="Q856" s="22" t="str">
        <f>IF(N856&gt;Summary!$C$17,"Outlier","")</f>
        <v/>
      </c>
      <c r="R856" s="22" t="str">
        <f>IF(L856="","None",L856)</f>
        <v>WINTER15</v>
      </c>
    </row>
    <row r="857" spans="1:18" x14ac:dyDescent="0.2">
      <c r="A857" s="22" t="s">
        <v>3218</v>
      </c>
      <c r="B857" s="23">
        <v>45071</v>
      </c>
      <c r="C857" s="22" t="s">
        <v>3219</v>
      </c>
      <c r="D857" s="22" t="s">
        <v>65</v>
      </c>
      <c r="E857" s="22">
        <v>5</v>
      </c>
      <c r="F857" s="24">
        <v>240.61</v>
      </c>
      <c r="G857" s="22" t="s">
        <v>1073</v>
      </c>
      <c r="H857" s="22" t="s">
        <v>76</v>
      </c>
      <c r="I857" s="22" t="s">
        <v>70</v>
      </c>
      <c r="J857" s="22" t="s">
        <v>3220</v>
      </c>
      <c r="K857" s="22">
        <v>10</v>
      </c>
      <c r="L857" s="22" t="s">
        <v>82</v>
      </c>
      <c r="M857" s="22" t="s">
        <v>86</v>
      </c>
      <c r="N857" s="24">
        <v>1203.05</v>
      </c>
      <c r="O857" s="22">
        <f>YEAR(B857)</f>
        <v>2023</v>
      </c>
      <c r="P857" s="25">
        <f>DATE(YEAR(B857),MONTH(B857),1)</f>
        <v>45047</v>
      </c>
      <c r="Q857" s="22" t="str">
        <f>IF(N857&gt;Summary!$C$17,"Outlier","")</f>
        <v/>
      </c>
      <c r="R857" s="22" t="str">
        <f>IF(L857="","None",L857)</f>
        <v>FREESHIP</v>
      </c>
    </row>
    <row r="858" spans="1:18" x14ac:dyDescent="0.2">
      <c r="A858" s="22" t="s">
        <v>3221</v>
      </c>
      <c r="B858" s="23">
        <v>45446</v>
      </c>
      <c r="C858" s="22" t="s">
        <v>3222</v>
      </c>
      <c r="D858" s="22" t="s">
        <v>67</v>
      </c>
      <c r="E858" s="22">
        <v>1</v>
      </c>
      <c r="F858" s="24">
        <v>586.62</v>
      </c>
      <c r="G858" s="22" t="s">
        <v>290</v>
      </c>
      <c r="H858" s="22" t="s">
        <v>77</v>
      </c>
      <c r="I858" s="22" t="s">
        <v>70</v>
      </c>
      <c r="J858" s="22" t="s">
        <v>3223</v>
      </c>
      <c r="K858" s="22">
        <v>5</v>
      </c>
      <c r="L858" s="22"/>
      <c r="M858" s="22" t="s">
        <v>87</v>
      </c>
      <c r="N858" s="24">
        <v>586.62</v>
      </c>
      <c r="O858" s="22">
        <f>YEAR(B858)</f>
        <v>2024</v>
      </c>
      <c r="P858" s="25">
        <f>DATE(YEAR(B858),MONTH(B858),1)</f>
        <v>45444</v>
      </c>
      <c r="Q858" s="22" t="str">
        <f>IF(N858&gt;Summary!$C$17,"Outlier","")</f>
        <v/>
      </c>
      <c r="R858" s="22" t="str">
        <f>IF(L858="","None",L858)</f>
        <v>None</v>
      </c>
    </row>
    <row r="859" spans="1:18" x14ac:dyDescent="0.2">
      <c r="A859" s="22" t="s">
        <v>3224</v>
      </c>
      <c r="B859" s="23">
        <v>45361</v>
      </c>
      <c r="C859" s="22" t="s">
        <v>3225</v>
      </c>
      <c r="D859" s="22" t="s">
        <v>67</v>
      </c>
      <c r="E859" s="22">
        <v>3</v>
      </c>
      <c r="F859" s="24">
        <v>257.83999999999997</v>
      </c>
      <c r="G859" s="22" t="s">
        <v>935</v>
      </c>
      <c r="H859" s="22" t="s">
        <v>79</v>
      </c>
      <c r="I859" s="22" t="s">
        <v>69</v>
      </c>
      <c r="J859" s="22" t="s">
        <v>3226</v>
      </c>
      <c r="K859" s="22">
        <v>4</v>
      </c>
      <c r="L859" s="22"/>
      <c r="M859" s="22" t="s">
        <v>89</v>
      </c>
      <c r="N859" s="24">
        <v>773.52</v>
      </c>
      <c r="O859" s="22">
        <f>YEAR(B859)</f>
        <v>2024</v>
      </c>
      <c r="P859" s="25">
        <f>DATE(YEAR(B859),MONTH(B859),1)</f>
        <v>45352</v>
      </c>
      <c r="Q859" s="22" t="str">
        <f>IF(N859&gt;Summary!$C$17,"Outlier","")</f>
        <v/>
      </c>
      <c r="R859" s="22" t="str">
        <f>IF(L859="","None",L859)</f>
        <v>None</v>
      </c>
    </row>
    <row r="860" spans="1:18" x14ac:dyDescent="0.2">
      <c r="A860" s="22" t="s">
        <v>3227</v>
      </c>
      <c r="B860" s="23">
        <v>45158</v>
      </c>
      <c r="C860" s="22" t="s">
        <v>3228</v>
      </c>
      <c r="D860" s="22" t="s">
        <v>64</v>
      </c>
      <c r="E860" s="22">
        <v>5</v>
      </c>
      <c r="F860" s="24">
        <v>435.66</v>
      </c>
      <c r="G860" s="22" t="s">
        <v>191</v>
      </c>
      <c r="H860" s="22" t="s">
        <v>79</v>
      </c>
      <c r="I860" s="22" t="s">
        <v>71</v>
      </c>
      <c r="J860" s="22" t="s">
        <v>3229</v>
      </c>
      <c r="K860" s="22">
        <v>9</v>
      </c>
      <c r="L860" s="22"/>
      <c r="M860" s="22" t="s">
        <v>87</v>
      </c>
      <c r="N860" s="24">
        <v>2178.3000000000002</v>
      </c>
      <c r="O860" s="22">
        <f>YEAR(B860)</f>
        <v>2023</v>
      </c>
      <c r="P860" s="25">
        <f>DATE(YEAR(B860),MONTH(B860),1)</f>
        <v>45139</v>
      </c>
      <c r="Q860" s="22" t="str">
        <f>IF(N860&gt;Summary!$C$17,"Outlier","")</f>
        <v/>
      </c>
      <c r="R860" s="22" t="str">
        <f>IF(L860="","None",L860)</f>
        <v>None</v>
      </c>
    </row>
    <row r="861" spans="1:18" x14ac:dyDescent="0.2">
      <c r="A861" s="22" t="s">
        <v>3230</v>
      </c>
      <c r="B861" s="23">
        <v>45532</v>
      </c>
      <c r="C861" s="22" t="s">
        <v>3231</v>
      </c>
      <c r="D861" s="22" t="s">
        <v>61</v>
      </c>
      <c r="E861" s="22">
        <v>5</v>
      </c>
      <c r="F861" s="24">
        <v>261.33</v>
      </c>
      <c r="G861" s="22" t="s">
        <v>2385</v>
      </c>
      <c r="H861" s="22" t="s">
        <v>76</v>
      </c>
      <c r="I861" s="22" t="s">
        <v>72</v>
      </c>
      <c r="J861" s="22" t="s">
        <v>3232</v>
      </c>
      <c r="K861" s="22">
        <v>5</v>
      </c>
      <c r="L861" s="22" t="s">
        <v>83</v>
      </c>
      <c r="M861" s="22" t="s">
        <v>90</v>
      </c>
      <c r="N861" s="24">
        <v>1306.6500000000001</v>
      </c>
      <c r="O861" s="22">
        <f>YEAR(B861)</f>
        <v>2024</v>
      </c>
      <c r="P861" s="25">
        <f>DATE(YEAR(B861),MONTH(B861),1)</f>
        <v>45505</v>
      </c>
      <c r="Q861" s="22" t="str">
        <f>IF(N861&gt;Summary!$C$17,"Outlier","")</f>
        <v/>
      </c>
      <c r="R861" s="22" t="str">
        <f>IF(L861="","None",L861)</f>
        <v>SAVE10</v>
      </c>
    </row>
    <row r="862" spans="1:18" x14ac:dyDescent="0.2">
      <c r="A862" s="22" t="s">
        <v>3233</v>
      </c>
      <c r="B862" s="23">
        <v>45314</v>
      </c>
      <c r="C862" s="22" t="s">
        <v>3234</v>
      </c>
      <c r="D862" s="22" t="s">
        <v>62</v>
      </c>
      <c r="E862" s="22">
        <v>1</v>
      </c>
      <c r="F862" s="24">
        <v>422.54</v>
      </c>
      <c r="G862" s="22" t="s">
        <v>1443</v>
      </c>
      <c r="H862" s="22" t="s">
        <v>75</v>
      </c>
      <c r="I862" s="22" t="s">
        <v>69</v>
      </c>
      <c r="J862" s="22" t="s">
        <v>3235</v>
      </c>
      <c r="K862" s="22">
        <v>1</v>
      </c>
      <c r="L862" s="22" t="s">
        <v>83</v>
      </c>
      <c r="M862" s="22" t="s">
        <v>88</v>
      </c>
      <c r="N862" s="24">
        <v>422.54</v>
      </c>
      <c r="O862" s="22">
        <f>YEAR(B862)</f>
        <v>2024</v>
      </c>
      <c r="P862" s="25">
        <f>DATE(YEAR(B862),MONTH(B862),1)</f>
        <v>45292</v>
      </c>
      <c r="Q862" s="22" t="str">
        <f>IF(N862&gt;Summary!$C$17,"Outlier","")</f>
        <v/>
      </c>
      <c r="R862" s="22" t="str">
        <f>IF(L862="","None",L862)</f>
        <v>SAVE10</v>
      </c>
    </row>
    <row r="863" spans="1:18" x14ac:dyDescent="0.2">
      <c r="A863" s="22" t="s">
        <v>3236</v>
      </c>
      <c r="B863" s="23">
        <v>45004</v>
      </c>
      <c r="C863" s="22" t="s">
        <v>3237</v>
      </c>
      <c r="D863" s="22" t="s">
        <v>66</v>
      </c>
      <c r="E863" s="22">
        <v>5</v>
      </c>
      <c r="F863" s="24">
        <v>330.45</v>
      </c>
      <c r="G863" s="22" t="s">
        <v>3238</v>
      </c>
      <c r="H863" s="22" t="s">
        <v>78</v>
      </c>
      <c r="I863" s="22" t="s">
        <v>70</v>
      </c>
      <c r="J863" s="22" t="s">
        <v>3239</v>
      </c>
      <c r="K863" s="22">
        <v>10</v>
      </c>
      <c r="L863" s="22" t="s">
        <v>82</v>
      </c>
      <c r="M863" s="22" t="s">
        <v>88</v>
      </c>
      <c r="N863" s="24">
        <v>1652.25</v>
      </c>
      <c r="O863" s="22">
        <f>YEAR(B863)</f>
        <v>2023</v>
      </c>
      <c r="P863" s="25">
        <f>DATE(YEAR(B863),MONTH(B863),1)</f>
        <v>44986</v>
      </c>
      <c r="Q863" s="22" t="str">
        <f>IF(N863&gt;Summary!$C$17,"Outlier","")</f>
        <v/>
      </c>
      <c r="R863" s="22" t="str">
        <f>IF(L863="","None",L863)</f>
        <v>FREESHIP</v>
      </c>
    </row>
    <row r="864" spans="1:18" x14ac:dyDescent="0.2">
      <c r="A864" s="22" t="s">
        <v>3240</v>
      </c>
      <c r="B864" s="23">
        <v>45262</v>
      </c>
      <c r="C864" s="22" t="s">
        <v>3241</v>
      </c>
      <c r="D864" s="22" t="s">
        <v>66</v>
      </c>
      <c r="E864" s="22">
        <v>3</v>
      </c>
      <c r="F864" s="24">
        <v>120.82</v>
      </c>
      <c r="G864" s="22" t="s">
        <v>2693</v>
      </c>
      <c r="H864" s="22" t="s">
        <v>76</v>
      </c>
      <c r="I864" s="22" t="s">
        <v>70</v>
      </c>
      <c r="J864" s="22" t="s">
        <v>3242</v>
      </c>
      <c r="K864" s="22">
        <v>5</v>
      </c>
      <c r="L864" s="22" t="s">
        <v>83</v>
      </c>
      <c r="M864" s="22" t="s">
        <v>90</v>
      </c>
      <c r="N864" s="24">
        <v>362.46</v>
      </c>
      <c r="O864" s="22">
        <f>YEAR(B864)</f>
        <v>2023</v>
      </c>
      <c r="P864" s="25">
        <f>DATE(YEAR(B864),MONTH(B864),1)</f>
        <v>45261</v>
      </c>
      <c r="Q864" s="22" t="str">
        <f>IF(N864&gt;Summary!$C$17,"Outlier","")</f>
        <v/>
      </c>
      <c r="R864" s="22" t="str">
        <f>IF(L864="","None",L864)</f>
        <v>SAVE10</v>
      </c>
    </row>
    <row r="865" spans="1:18" x14ac:dyDescent="0.2">
      <c r="A865" s="22" t="s">
        <v>3243</v>
      </c>
      <c r="B865" s="23">
        <v>45432</v>
      </c>
      <c r="C865" s="22" t="s">
        <v>3244</v>
      </c>
      <c r="D865" s="22" t="s">
        <v>67</v>
      </c>
      <c r="E865" s="22">
        <v>1</v>
      </c>
      <c r="F865" s="24">
        <v>14.06</v>
      </c>
      <c r="G865" s="22" t="s">
        <v>1077</v>
      </c>
      <c r="H865" s="22" t="s">
        <v>76</v>
      </c>
      <c r="I865" s="22" t="s">
        <v>71</v>
      </c>
      <c r="J865" s="22" t="s">
        <v>3245</v>
      </c>
      <c r="K865" s="22">
        <v>5</v>
      </c>
      <c r="L865" s="22" t="s">
        <v>83</v>
      </c>
      <c r="M865" s="22" t="s">
        <v>90</v>
      </c>
      <c r="N865" s="24">
        <v>14.06</v>
      </c>
      <c r="O865" s="22">
        <f>YEAR(B865)</f>
        <v>2024</v>
      </c>
      <c r="P865" s="25">
        <f>DATE(YEAR(B865),MONTH(B865),1)</f>
        <v>45413</v>
      </c>
      <c r="Q865" s="22" t="str">
        <f>IF(N865&gt;Summary!$C$17,"Outlier","")</f>
        <v/>
      </c>
      <c r="R865" s="22" t="str">
        <f>IF(L865="","None",L865)</f>
        <v>SAVE10</v>
      </c>
    </row>
    <row r="866" spans="1:18" x14ac:dyDescent="0.2">
      <c r="A866" s="22" t="s">
        <v>3246</v>
      </c>
      <c r="B866" s="23">
        <v>45049</v>
      </c>
      <c r="C866" s="22" t="s">
        <v>3247</v>
      </c>
      <c r="D866" s="22" t="s">
        <v>66</v>
      </c>
      <c r="E866" s="22">
        <v>1</v>
      </c>
      <c r="F866" s="24">
        <v>491.11</v>
      </c>
      <c r="G866" s="22" t="s">
        <v>3248</v>
      </c>
      <c r="H866" s="22" t="s">
        <v>76</v>
      </c>
      <c r="I866" s="22" t="s">
        <v>69</v>
      </c>
      <c r="J866" s="22" t="s">
        <v>3249</v>
      </c>
      <c r="K866" s="22">
        <v>4</v>
      </c>
      <c r="L866" s="22" t="s">
        <v>83</v>
      </c>
      <c r="M866" s="22" t="s">
        <v>87</v>
      </c>
      <c r="N866" s="24">
        <v>491.11</v>
      </c>
      <c r="O866" s="22">
        <f>YEAR(B866)</f>
        <v>2023</v>
      </c>
      <c r="P866" s="25">
        <f>DATE(YEAR(B866),MONTH(B866),1)</f>
        <v>45047</v>
      </c>
      <c r="Q866" s="22" t="str">
        <f>IF(N866&gt;Summary!$C$17,"Outlier","")</f>
        <v/>
      </c>
      <c r="R866" s="22" t="str">
        <f>IF(L866="","None",L866)</f>
        <v>SAVE10</v>
      </c>
    </row>
    <row r="867" spans="1:18" x14ac:dyDescent="0.2">
      <c r="A867" s="22" t="s">
        <v>3250</v>
      </c>
      <c r="B867" s="23">
        <v>45046</v>
      </c>
      <c r="C867" s="22" t="s">
        <v>3251</v>
      </c>
      <c r="D867" s="22" t="s">
        <v>65</v>
      </c>
      <c r="E867" s="22">
        <v>4</v>
      </c>
      <c r="F867" s="24">
        <v>677.37</v>
      </c>
      <c r="G867" s="22" t="s">
        <v>3252</v>
      </c>
      <c r="H867" s="22" t="s">
        <v>75</v>
      </c>
      <c r="I867" s="22" t="s">
        <v>71</v>
      </c>
      <c r="J867" s="22" t="s">
        <v>3253</v>
      </c>
      <c r="K867" s="22">
        <v>8</v>
      </c>
      <c r="L867" s="22" t="s">
        <v>83</v>
      </c>
      <c r="M867" s="22" t="s">
        <v>88</v>
      </c>
      <c r="N867" s="24">
        <v>2709.48</v>
      </c>
      <c r="O867" s="22">
        <f>YEAR(B867)</f>
        <v>2023</v>
      </c>
      <c r="P867" s="25">
        <f>DATE(YEAR(B867),MONTH(B867),1)</f>
        <v>45017</v>
      </c>
      <c r="Q867" s="22" t="str">
        <f>IF(N867&gt;Summary!$C$17,"Outlier","")</f>
        <v/>
      </c>
      <c r="R867" s="22" t="str">
        <f>IF(L867="","None",L867)</f>
        <v>SAVE10</v>
      </c>
    </row>
    <row r="868" spans="1:18" x14ac:dyDescent="0.2">
      <c r="A868" s="22" t="s">
        <v>3254</v>
      </c>
      <c r="B868" s="23">
        <v>45499</v>
      </c>
      <c r="C868" s="22" t="s">
        <v>3255</v>
      </c>
      <c r="D868" s="22" t="s">
        <v>66</v>
      </c>
      <c r="E868" s="22">
        <v>5</v>
      </c>
      <c r="F868" s="24">
        <v>189.25</v>
      </c>
      <c r="G868" s="22" t="s">
        <v>3256</v>
      </c>
      <c r="H868" s="22" t="s">
        <v>77</v>
      </c>
      <c r="I868" s="22" t="s">
        <v>73</v>
      </c>
      <c r="J868" s="22" t="s">
        <v>3257</v>
      </c>
      <c r="K868" s="22">
        <v>10</v>
      </c>
      <c r="L868" s="22" t="s">
        <v>84</v>
      </c>
      <c r="M868" s="22" t="s">
        <v>86</v>
      </c>
      <c r="N868" s="24">
        <v>946.25</v>
      </c>
      <c r="O868" s="22">
        <f>YEAR(B868)</f>
        <v>2024</v>
      </c>
      <c r="P868" s="25">
        <f>DATE(YEAR(B868),MONTH(B868),1)</f>
        <v>45474</v>
      </c>
      <c r="Q868" s="22" t="str">
        <f>IF(N868&gt;Summary!$C$17,"Outlier","")</f>
        <v/>
      </c>
      <c r="R868" s="22" t="str">
        <f>IF(L868="","None",L868)</f>
        <v>WINTER15</v>
      </c>
    </row>
    <row r="869" spans="1:18" x14ac:dyDescent="0.2">
      <c r="A869" s="22" t="s">
        <v>3258</v>
      </c>
      <c r="B869" s="23">
        <v>45438</v>
      </c>
      <c r="C869" s="22" t="s">
        <v>3259</v>
      </c>
      <c r="D869" s="22" t="s">
        <v>62</v>
      </c>
      <c r="E869" s="22">
        <v>4</v>
      </c>
      <c r="F869" s="24">
        <v>142.58000000000001</v>
      </c>
      <c r="G869" s="22" t="s">
        <v>3260</v>
      </c>
      <c r="H869" s="22" t="s">
        <v>75</v>
      </c>
      <c r="I869" s="22" t="s">
        <v>69</v>
      </c>
      <c r="J869" s="22" t="s">
        <v>3261</v>
      </c>
      <c r="K869" s="22">
        <v>4</v>
      </c>
      <c r="L869" s="22" t="s">
        <v>82</v>
      </c>
      <c r="M869" s="22" t="s">
        <v>87</v>
      </c>
      <c r="N869" s="24">
        <v>570.32000000000005</v>
      </c>
      <c r="O869" s="22">
        <f>YEAR(B869)</f>
        <v>2024</v>
      </c>
      <c r="P869" s="25">
        <f>DATE(YEAR(B869),MONTH(B869),1)</f>
        <v>45413</v>
      </c>
      <c r="Q869" s="22" t="str">
        <f>IF(N869&gt;Summary!$C$17,"Outlier","")</f>
        <v/>
      </c>
      <c r="R869" s="22" t="str">
        <f>IF(L869="","None",L869)</f>
        <v>FREESHIP</v>
      </c>
    </row>
    <row r="870" spans="1:18" x14ac:dyDescent="0.2">
      <c r="A870" s="22" t="s">
        <v>3262</v>
      </c>
      <c r="B870" s="23">
        <v>45472</v>
      </c>
      <c r="C870" s="22" t="s">
        <v>3263</v>
      </c>
      <c r="D870" s="22" t="s">
        <v>65</v>
      </c>
      <c r="E870" s="22">
        <v>4</v>
      </c>
      <c r="F870" s="24">
        <v>316.32</v>
      </c>
      <c r="G870" s="22" t="s">
        <v>3264</v>
      </c>
      <c r="H870" s="22" t="s">
        <v>77</v>
      </c>
      <c r="I870" s="22" t="s">
        <v>69</v>
      </c>
      <c r="J870" s="22" t="s">
        <v>3265</v>
      </c>
      <c r="K870" s="22">
        <v>7</v>
      </c>
      <c r="L870" s="22"/>
      <c r="M870" s="22" t="s">
        <v>87</v>
      </c>
      <c r="N870" s="24">
        <v>1265.28</v>
      </c>
      <c r="O870" s="22">
        <f>YEAR(B870)</f>
        <v>2024</v>
      </c>
      <c r="P870" s="25">
        <f>DATE(YEAR(B870),MONTH(B870),1)</f>
        <v>45444</v>
      </c>
      <c r="Q870" s="22" t="str">
        <f>IF(N870&gt;Summary!$C$17,"Outlier","")</f>
        <v/>
      </c>
      <c r="R870" s="22" t="str">
        <f>IF(L870="","None",L870)</f>
        <v>None</v>
      </c>
    </row>
    <row r="871" spans="1:18" x14ac:dyDescent="0.2">
      <c r="A871" s="22" t="s">
        <v>3266</v>
      </c>
      <c r="B871" s="23">
        <v>45368</v>
      </c>
      <c r="C871" s="22" t="s">
        <v>3267</v>
      </c>
      <c r="D871" s="22" t="s">
        <v>66</v>
      </c>
      <c r="E871" s="22">
        <v>2</v>
      </c>
      <c r="F871" s="24">
        <v>533.95000000000005</v>
      </c>
      <c r="G871" s="22" t="s">
        <v>796</v>
      </c>
      <c r="H871" s="22" t="s">
        <v>79</v>
      </c>
      <c r="I871" s="22" t="s">
        <v>69</v>
      </c>
      <c r="J871" s="22" t="s">
        <v>3268</v>
      </c>
      <c r="K871" s="22">
        <v>5</v>
      </c>
      <c r="L871" s="22" t="s">
        <v>84</v>
      </c>
      <c r="M871" s="22" t="s">
        <v>88</v>
      </c>
      <c r="N871" s="24">
        <v>1067.9000000000001</v>
      </c>
      <c r="O871" s="22">
        <f>YEAR(B871)</f>
        <v>2024</v>
      </c>
      <c r="P871" s="25">
        <f>DATE(YEAR(B871),MONTH(B871),1)</f>
        <v>45352</v>
      </c>
      <c r="Q871" s="22" t="str">
        <f>IF(N871&gt;Summary!$C$17,"Outlier","")</f>
        <v/>
      </c>
      <c r="R871" s="22" t="str">
        <f>IF(L871="","None",L871)</f>
        <v>WINTER15</v>
      </c>
    </row>
    <row r="872" spans="1:18" x14ac:dyDescent="0.2">
      <c r="A872" s="22" t="s">
        <v>3269</v>
      </c>
      <c r="B872" s="23">
        <v>45809</v>
      </c>
      <c r="C872" s="22" t="s">
        <v>3270</v>
      </c>
      <c r="D872" s="22" t="s">
        <v>67</v>
      </c>
      <c r="E872" s="22">
        <v>4</v>
      </c>
      <c r="F872" s="24">
        <v>470.09</v>
      </c>
      <c r="G872" s="22" t="s">
        <v>3271</v>
      </c>
      <c r="H872" s="22" t="s">
        <v>77</v>
      </c>
      <c r="I872" s="22" t="s">
        <v>69</v>
      </c>
      <c r="J872" s="22" t="s">
        <v>3272</v>
      </c>
      <c r="K872" s="22">
        <v>4</v>
      </c>
      <c r="L872" s="22" t="s">
        <v>82</v>
      </c>
      <c r="M872" s="22" t="s">
        <v>88</v>
      </c>
      <c r="N872" s="24">
        <v>1880.36</v>
      </c>
      <c r="O872" s="22">
        <f>YEAR(B872)</f>
        <v>2025</v>
      </c>
      <c r="P872" s="25">
        <f>DATE(YEAR(B872),MONTH(B872),1)</f>
        <v>45809</v>
      </c>
      <c r="Q872" s="22" t="str">
        <f>IF(N872&gt;Summary!$C$17,"Outlier","")</f>
        <v/>
      </c>
      <c r="R872" s="22" t="str">
        <f>IF(L872="","None",L872)</f>
        <v>FREESHIP</v>
      </c>
    </row>
    <row r="873" spans="1:18" x14ac:dyDescent="0.2">
      <c r="A873" s="22" t="s">
        <v>3273</v>
      </c>
      <c r="B873" s="23">
        <v>45428</v>
      </c>
      <c r="C873" s="22" t="s">
        <v>3274</v>
      </c>
      <c r="D873" s="22" t="s">
        <v>64</v>
      </c>
      <c r="E873" s="22">
        <v>3</v>
      </c>
      <c r="F873" s="24">
        <v>324.3</v>
      </c>
      <c r="G873" s="22" t="s">
        <v>3275</v>
      </c>
      <c r="H873" s="22" t="s">
        <v>77</v>
      </c>
      <c r="I873" s="22" t="s">
        <v>71</v>
      </c>
      <c r="J873" s="22" t="s">
        <v>3276</v>
      </c>
      <c r="K873" s="22">
        <v>8</v>
      </c>
      <c r="L873" s="22" t="s">
        <v>82</v>
      </c>
      <c r="M873" s="22" t="s">
        <v>86</v>
      </c>
      <c r="N873" s="24">
        <v>972.9</v>
      </c>
      <c r="O873" s="22">
        <f>YEAR(B873)</f>
        <v>2024</v>
      </c>
      <c r="P873" s="25">
        <f>DATE(YEAR(B873),MONTH(B873),1)</f>
        <v>45413</v>
      </c>
      <c r="Q873" s="22" t="str">
        <f>IF(N873&gt;Summary!$C$17,"Outlier","")</f>
        <v/>
      </c>
      <c r="R873" s="22" t="str">
        <f>IF(L873="","None",L873)</f>
        <v>FREESHIP</v>
      </c>
    </row>
    <row r="874" spans="1:18" x14ac:dyDescent="0.2">
      <c r="A874" s="22" t="s">
        <v>3277</v>
      </c>
      <c r="B874" s="23">
        <v>45117</v>
      </c>
      <c r="C874" s="22" t="s">
        <v>3278</v>
      </c>
      <c r="D874" s="22" t="s">
        <v>61</v>
      </c>
      <c r="E874" s="22">
        <v>4</v>
      </c>
      <c r="F874" s="24">
        <v>629.34</v>
      </c>
      <c r="G874" s="22" t="s">
        <v>907</v>
      </c>
      <c r="H874" s="22" t="s">
        <v>75</v>
      </c>
      <c r="I874" s="22" t="s">
        <v>70</v>
      </c>
      <c r="J874" s="22" t="s">
        <v>3279</v>
      </c>
      <c r="K874" s="22">
        <v>7</v>
      </c>
      <c r="L874" s="22"/>
      <c r="M874" s="22" t="s">
        <v>86</v>
      </c>
      <c r="N874" s="24">
        <v>2517.36</v>
      </c>
      <c r="O874" s="22">
        <f>YEAR(B874)</f>
        <v>2023</v>
      </c>
      <c r="P874" s="25">
        <f>DATE(YEAR(B874),MONTH(B874),1)</f>
        <v>45108</v>
      </c>
      <c r="Q874" s="22" t="str">
        <f>IF(N874&gt;Summary!$C$17,"Outlier","")</f>
        <v/>
      </c>
      <c r="R874" s="22" t="str">
        <f>IF(L874="","None",L874)</f>
        <v>None</v>
      </c>
    </row>
    <row r="875" spans="1:18" x14ac:dyDescent="0.2">
      <c r="A875" s="22" t="s">
        <v>3280</v>
      </c>
      <c r="B875" s="23">
        <v>45424</v>
      </c>
      <c r="C875" s="22" t="s">
        <v>3281</v>
      </c>
      <c r="D875" s="22" t="s">
        <v>66</v>
      </c>
      <c r="E875" s="22">
        <v>3</v>
      </c>
      <c r="F875" s="24">
        <v>136.84</v>
      </c>
      <c r="G875" s="22" t="s">
        <v>3282</v>
      </c>
      <c r="H875" s="22" t="s">
        <v>75</v>
      </c>
      <c r="I875" s="22" t="s">
        <v>69</v>
      </c>
      <c r="J875" s="22" t="s">
        <v>3283</v>
      </c>
      <c r="K875" s="22">
        <v>3</v>
      </c>
      <c r="L875" s="22" t="s">
        <v>83</v>
      </c>
      <c r="M875" s="22" t="s">
        <v>87</v>
      </c>
      <c r="N875" s="24">
        <v>410.52</v>
      </c>
      <c r="O875" s="22">
        <f>YEAR(B875)</f>
        <v>2024</v>
      </c>
      <c r="P875" s="25">
        <f>DATE(YEAR(B875),MONTH(B875),1)</f>
        <v>45413</v>
      </c>
      <c r="Q875" s="22" t="str">
        <f>IF(N875&gt;Summary!$C$17,"Outlier","")</f>
        <v/>
      </c>
      <c r="R875" s="22" t="str">
        <f>IF(L875="","None",L875)</f>
        <v>SAVE10</v>
      </c>
    </row>
    <row r="876" spans="1:18" x14ac:dyDescent="0.2">
      <c r="A876" s="22" t="s">
        <v>3284</v>
      </c>
      <c r="B876" s="23">
        <v>45230</v>
      </c>
      <c r="C876" s="22" t="s">
        <v>3285</v>
      </c>
      <c r="D876" s="22" t="s">
        <v>61</v>
      </c>
      <c r="E876" s="22">
        <v>2</v>
      </c>
      <c r="F876" s="24">
        <v>488.9</v>
      </c>
      <c r="G876" s="22" t="s">
        <v>2721</v>
      </c>
      <c r="H876" s="22" t="s">
        <v>75</v>
      </c>
      <c r="I876" s="22" t="s">
        <v>69</v>
      </c>
      <c r="J876" s="22" t="s">
        <v>3286</v>
      </c>
      <c r="K876" s="22">
        <v>7</v>
      </c>
      <c r="L876" s="22" t="s">
        <v>82</v>
      </c>
      <c r="M876" s="22" t="s">
        <v>87</v>
      </c>
      <c r="N876" s="24">
        <v>977.8</v>
      </c>
      <c r="O876" s="22">
        <f>YEAR(B876)</f>
        <v>2023</v>
      </c>
      <c r="P876" s="25">
        <f>DATE(YEAR(B876),MONTH(B876),1)</f>
        <v>45200</v>
      </c>
      <c r="Q876" s="22" t="str">
        <f>IF(N876&gt;Summary!$C$17,"Outlier","")</f>
        <v/>
      </c>
      <c r="R876" s="22" t="str">
        <f>IF(L876="","None",L876)</f>
        <v>FREESHIP</v>
      </c>
    </row>
    <row r="877" spans="1:18" x14ac:dyDescent="0.2">
      <c r="A877" s="22" t="s">
        <v>3287</v>
      </c>
      <c r="B877" s="23">
        <v>45141</v>
      </c>
      <c r="C877" s="22" t="s">
        <v>3288</v>
      </c>
      <c r="D877" s="22" t="s">
        <v>63</v>
      </c>
      <c r="E877" s="22">
        <v>5</v>
      </c>
      <c r="F877" s="24">
        <v>133.38999999999999</v>
      </c>
      <c r="G877" s="22" t="s">
        <v>481</v>
      </c>
      <c r="H877" s="22" t="s">
        <v>76</v>
      </c>
      <c r="I877" s="22" t="s">
        <v>69</v>
      </c>
      <c r="J877" s="22" t="s">
        <v>3289</v>
      </c>
      <c r="K877" s="22">
        <v>6</v>
      </c>
      <c r="L877" s="22" t="s">
        <v>82</v>
      </c>
      <c r="M877" s="22" t="s">
        <v>90</v>
      </c>
      <c r="N877" s="24">
        <v>666.95</v>
      </c>
      <c r="O877" s="22">
        <f>YEAR(B877)</f>
        <v>2023</v>
      </c>
      <c r="P877" s="25">
        <f>DATE(YEAR(B877),MONTH(B877),1)</f>
        <v>45139</v>
      </c>
      <c r="Q877" s="22" t="str">
        <f>IF(N877&gt;Summary!$C$17,"Outlier","")</f>
        <v/>
      </c>
      <c r="R877" s="22" t="str">
        <f>IF(L877="","None",L877)</f>
        <v>FREESHIP</v>
      </c>
    </row>
    <row r="878" spans="1:18" x14ac:dyDescent="0.2">
      <c r="A878" s="22" t="s">
        <v>3290</v>
      </c>
      <c r="B878" s="23">
        <v>45452</v>
      </c>
      <c r="C878" s="22" t="s">
        <v>3291</v>
      </c>
      <c r="D878" s="22" t="s">
        <v>61</v>
      </c>
      <c r="E878" s="22">
        <v>5</v>
      </c>
      <c r="F878" s="24">
        <v>608.91</v>
      </c>
      <c r="G878" s="22" t="s">
        <v>2833</v>
      </c>
      <c r="H878" s="22" t="s">
        <v>78</v>
      </c>
      <c r="I878" s="22" t="s">
        <v>71</v>
      </c>
      <c r="J878" s="22" t="s">
        <v>3292</v>
      </c>
      <c r="K878" s="22">
        <v>6</v>
      </c>
      <c r="L878" s="22" t="s">
        <v>83</v>
      </c>
      <c r="M878" s="22" t="s">
        <v>88</v>
      </c>
      <c r="N878" s="24">
        <v>3044.55</v>
      </c>
      <c r="O878" s="22">
        <f>YEAR(B878)</f>
        <v>2024</v>
      </c>
      <c r="P878" s="25">
        <f>DATE(YEAR(B878),MONTH(B878),1)</f>
        <v>45444</v>
      </c>
      <c r="Q878" s="22" t="str">
        <f>IF(N878&gt;Summary!$C$17,"Outlier","")</f>
        <v/>
      </c>
      <c r="R878" s="22" t="str">
        <f>IF(L878="","None",L878)</f>
        <v>SAVE10</v>
      </c>
    </row>
    <row r="879" spans="1:18" x14ac:dyDescent="0.2">
      <c r="A879" s="22" t="s">
        <v>3293</v>
      </c>
      <c r="B879" s="23">
        <v>45498</v>
      </c>
      <c r="C879" s="22" t="s">
        <v>3294</v>
      </c>
      <c r="D879" s="22" t="s">
        <v>64</v>
      </c>
      <c r="E879" s="22">
        <v>1</v>
      </c>
      <c r="F879" s="24">
        <v>524.05999999999995</v>
      </c>
      <c r="G879" s="22" t="s">
        <v>2420</v>
      </c>
      <c r="H879" s="22" t="s">
        <v>77</v>
      </c>
      <c r="I879" s="22" t="s">
        <v>71</v>
      </c>
      <c r="J879" s="22" t="s">
        <v>3295</v>
      </c>
      <c r="K879" s="22">
        <v>3</v>
      </c>
      <c r="L879" s="22" t="s">
        <v>82</v>
      </c>
      <c r="M879" s="22" t="s">
        <v>86</v>
      </c>
      <c r="N879" s="24">
        <v>524.05999999999995</v>
      </c>
      <c r="O879" s="22">
        <f>YEAR(B879)</f>
        <v>2024</v>
      </c>
      <c r="P879" s="25">
        <f>DATE(YEAR(B879),MONTH(B879),1)</f>
        <v>45474</v>
      </c>
      <c r="Q879" s="22" t="str">
        <f>IF(N879&gt;Summary!$C$17,"Outlier","")</f>
        <v/>
      </c>
      <c r="R879" s="22" t="str">
        <f>IF(L879="","None",L879)</f>
        <v>FREESHIP</v>
      </c>
    </row>
    <row r="880" spans="1:18" x14ac:dyDescent="0.2">
      <c r="A880" s="22" t="s">
        <v>3296</v>
      </c>
      <c r="B880" s="23">
        <v>45078</v>
      </c>
      <c r="C880" s="22" t="s">
        <v>3297</v>
      </c>
      <c r="D880" s="22" t="s">
        <v>66</v>
      </c>
      <c r="E880" s="22">
        <v>2</v>
      </c>
      <c r="F880" s="24">
        <v>330.69</v>
      </c>
      <c r="G880" s="22" t="s">
        <v>3298</v>
      </c>
      <c r="H880" s="22" t="s">
        <v>79</v>
      </c>
      <c r="I880" s="22" t="s">
        <v>73</v>
      </c>
      <c r="J880" s="22" t="s">
        <v>3299</v>
      </c>
      <c r="K880" s="22">
        <v>5</v>
      </c>
      <c r="L880" s="22" t="s">
        <v>83</v>
      </c>
      <c r="M880" s="22" t="s">
        <v>88</v>
      </c>
      <c r="N880" s="24">
        <v>661.38</v>
      </c>
      <c r="O880" s="22">
        <f>YEAR(B880)</f>
        <v>2023</v>
      </c>
      <c r="P880" s="25">
        <f>DATE(YEAR(B880),MONTH(B880),1)</f>
        <v>45078</v>
      </c>
      <c r="Q880" s="22" t="str">
        <f>IF(N880&gt;Summary!$C$17,"Outlier","")</f>
        <v/>
      </c>
      <c r="R880" s="22" t="str">
        <f>IF(L880="","None",L880)</f>
        <v>SAVE10</v>
      </c>
    </row>
    <row r="881" spans="1:18" x14ac:dyDescent="0.2">
      <c r="A881" s="22" t="s">
        <v>3300</v>
      </c>
      <c r="B881" s="23">
        <v>45755</v>
      </c>
      <c r="C881" s="22" t="s">
        <v>3301</v>
      </c>
      <c r="D881" s="22" t="s">
        <v>67</v>
      </c>
      <c r="E881" s="22">
        <v>2</v>
      </c>
      <c r="F881" s="24">
        <v>547.66999999999996</v>
      </c>
      <c r="G881" s="22" t="s">
        <v>2190</v>
      </c>
      <c r="H881" s="22" t="s">
        <v>78</v>
      </c>
      <c r="I881" s="22" t="s">
        <v>70</v>
      </c>
      <c r="J881" s="22" t="s">
        <v>3302</v>
      </c>
      <c r="K881" s="22">
        <v>3</v>
      </c>
      <c r="L881" s="22"/>
      <c r="M881" s="22" t="s">
        <v>89</v>
      </c>
      <c r="N881" s="24">
        <v>1095.3399999999999</v>
      </c>
      <c r="O881" s="22">
        <f>YEAR(B881)</f>
        <v>2025</v>
      </c>
      <c r="P881" s="25">
        <f>DATE(YEAR(B881),MONTH(B881),1)</f>
        <v>45748</v>
      </c>
      <c r="Q881" s="22" t="str">
        <f>IF(N881&gt;Summary!$C$17,"Outlier","")</f>
        <v/>
      </c>
      <c r="R881" s="22" t="str">
        <f>IF(L881="","None",L881)</f>
        <v>None</v>
      </c>
    </row>
    <row r="882" spans="1:18" x14ac:dyDescent="0.2">
      <c r="A882" s="22" t="s">
        <v>3303</v>
      </c>
      <c r="B882" s="23">
        <v>45728</v>
      </c>
      <c r="C882" s="22" t="s">
        <v>3304</v>
      </c>
      <c r="D882" s="22" t="s">
        <v>63</v>
      </c>
      <c r="E882" s="22">
        <v>4</v>
      </c>
      <c r="F882" s="24">
        <v>233.7</v>
      </c>
      <c r="G882" s="22" t="s">
        <v>1057</v>
      </c>
      <c r="H882" s="22" t="s">
        <v>79</v>
      </c>
      <c r="I882" s="22" t="s">
        <v>70</v>
      </c>
      <c r="J882" s="22" t="s">
        <v>3305</v>
      </c>
      <c r="K882" s="22">
        <v>8</v>
      </c>
      <c r="L882" s="22" t="s">
        <v>83</v>
      </c>
      <c r="M882" s="22" t="s">
        <v>87</v>
      </c>
      <c r="N882" s="24">
        <v>934.8</v>
      </c>
      <c r="O882" s="22">
        <f>YEAR(B882)</f>
        <v>2025</v>
      </c>
      <c r="P882" s="25">
        <f>DATE(YEAR(B882),MONTH(B882),1)</f>
        <v>45717</v>
      </c>
      <c r="Q882" s="22" t="str">
        <f>IF(N882&gt;Summary!$C$17,"Outlier","")</f>
        <v/>
      </c>
      <c r="R882" s="22" t="str">
        <f>IF(L882="","None",L882)</f>
        <v>SAVE10</v>
      </c>
    </row>
    <row r="883" spans="1:18" x14ac:dyDescent="0.2">
      <c r="A883" s="22" t="s">
        <v>3306</v>
      </c>
      <c r="B883" s="23">
        <v>44929</v>
      </c>
      <c r="C883" s="22" t="s">
        <v>3307</v>
      </c>
      <c r="D883" s="22" t="s">
        <v>64</v>
      </c>
      <c r="E883" s="22">
        <v>2</v>
      </c>
      <c r="F883" s="24">
        <v>448.85</v>
      </c>
      <c r="G883" s="22" t="s">
        <v>3308</v>
      </c>
      <c r="H883" s="22" t="s">
        <v>76</v>
      </c>
      <c r="I883" s="22" t="s">
        <v>71</v>
      </c>
      <c r="J883" s="22" t="s">
        <v>3309</v>
      </c>
      <c r="K883" s="22">
        <v>6</v>
      </c>
      <c r="L883" s="22"/>
      <c r="M883" s="22" t="s">
        <v>89</v>
      </c>
      <c r="N883" s="24">
        <v>897.7</v>
      </c>
      <c r="O883" s="22">
        <f>YEAR(B883)</f>
        <v>2023</v>
      </c>
      <c r="P883" s="25">
        <f>DATE(YEAR(B883),MONTH(B883),1)</f>
        <v>44927</v>
      </c>
      <c r="Q883" s="22" t="str">
        <f>IF(N883&gt;Summary!$C$17,"Outlier","")</f>
        <v/>
      </c>
      <c r="R883" s="22" t="str">
        <f>IF(L883="","None",L883)</f>
        <v>None</v>
      </c>
    </row>
    <row r="884" spans="1:18" x14ac:dyDescent="0.2">
      <c r="A884" s="22" t="s">
        <v>3310</v>
      </c>
      <c r="B884" s="23">
        <v>45836</v>
      </c>
      <c r="C884" s="22" t="s">
        <v>3311</v>
      </c>
      <c r="D884" s="22" t="s">
        <v>67</v>
      </c>
      <c r="E884" s="22">
        <v>2</v>
      </c>
      <c r="F884" s="24">
        <v>274.12</v>
      </c>
      <c r="G884" s="22" t="s">
        <v>504</v>
      </c>
      <c r="H884" s="22" t="s">
        <v>75</v>
      </c>
      <c r="I884" s="22" t="s">
        <v>69</v>
      </c>
      <c r="J884" s="22" t="s">
        <v>3312</v>
      </c>
      <c r="K884" s="22">
        <v>6</v>
      </c>
      <c r="L884" s="22" t="s">
        <v>82</v>
      </c>
      <c r="M884" s="22" t="s">
        <v>90</v>
      </c>
      <c r="N884" s="24">
        <v>548.24</v>
      </c>
      <c r="O884" s="22">
        <f>YEAR(B884)</f>
        <v>2025</v>
      </c>
      <c r="P884" s="25">
        <f>DATE(YEAR(B884),MONTH(B884),1)</f>
        <v>45809</v>
      </c>
      <c r="Q884" s="22" t="str">
        <f>IF(N884&gt;Summary!$C$17,"Outlier","")</f>
        <v/>
      </c>
      <c r="R884" s="22" t="str">
        <f>IF(L884="","None",L884)</f>
        <v>FREESHIP</v>
      </c>
    </row>
    <row r="885" spans="1:18" x14ac:dyDescent="0.2">
      <c r="A885" s="22" t="s">
        <v>3313</v>
      </c>
      <c r="B885" s="23">
        <v>45790</v>
      </c>
      <c r="C885" s="22" t="s">
        <v>3314</v>
      </c>
      <c r="D885" s="22" t="s">
        <v>62</v>
      </c>
      <c r="E885" s="22">
        <v>5</v>
      </c>
      <c r="F885" s="24">
        <v>561.48</v>
      </c>
      <c r="G885" s="22" t="s">
        <v>3315</v>
      </c>
      <c r="H885" s="22" t="s">
        <v>79</v>
      </c>
      <c r="I885" s="22" t="s">
        <v>69</v>
      </c>
      <c r="J885" s="22" t="s">
        <v>3316</v>
      </c>
      <c r="K885" s="22">
        <v>9</v>
      </c>
      <c r="L885" s="22" t="s">
        <v>82</v>
      </c>
      <c r="M885" s="22" t="s">
        <v>87</v>
      </c>
      <c r="N885" s="24">
        <v>2807.4</v>
      </c>
      <c r="O885" s="22">
        <f>YEAR(B885)</f>
        <v>2025</v>
      </c>
      <c r="P885" s="25">
        <f>DATE(YEAR(B885),MONTH(B885),1)</f>
        <v>45778</v>
      </c>
      <c r="Q885" s="22" t="str">
        <f>IF(N885&gt;Summary!$C$17,"Outlier","")</f>
        <v/>
      </c>
      <c r="R885" s="22" t="str">
        <f>IF(L885="","None",L885)</f>
        <v>FREESHIP</v>
      </c>
    </row>
    <row r="886" spans="1:18" x14ac:dyDescent="0.2">
      <c r="A886" s="22" t="s">
        <v>3317</v>
      </c>
      <c r="B886" s="23">
        <v>45427</v>
      </c>
      <c r="C886" s="22" t="s">
        <v>3318</v>
      </c>
      <c r="D886" s="22" t="s">
        <v>61</v>
      </c>
      <c r="E886" s="22">
        <v>1</v>
      </c>
      <c r="F886" s="24">
        <v>595.54</v>
      </c>
      <c r="G886" s="22" t="s">
        <v>3319</v>
      </c>
      <c r="H886" s="22" t="s">
        <v>78</v>
      </c>
      <c r="I886" s="22" t="s">
        <v>70</v>
      </c>
      <c r="J886" s="22" t="s">
        <v>3320</v>
      </c>
      <c r="K886" s="22">
        <v>4</v>
      </c>
      <c r="L886" s="22"/>
      <c r="M886" s="22" t="s">
        <v>89</v>
      </c>
      <c r="N886" s="24">
        <v>595.54</v>
      </c>
      <c r="O886" s="22">
        <f>YEAR(B886)</f>
        <v>2024</v>
      </c>
      <c r="P886" s="25">
        <f>DATE(YEAR(B886),MONTH(B886),1)</f>
        <v>45413</v>
      </c>
      <c r="Q886" s="22" t="str">
        <f>IF(N886&gt;Summary!$C$17,"Outlier","")</f>
        <v/>
      </c>
      <c r="R886" s="22" t="str">
        <f>IF(L886="","None",L886)</f>
        <v>None</v>
      </c>
    </row>
    <row r="887" spans="1:18" x14ac:dyDescent="0.2">
      <c r="A887" s="22" t="s">
        <v>3321</v>
      </c>
      <c r="B887" s="23">
        <v>45389</v>
      </c>
      <c r="C887" s="22" t="s">
        <v>3322</v>
      </c>
      <c r="D887" s="22" t="s">
        <v>63</v>
      </c>
      <c r="E887" s="22">
        <v>4</v>
      </c>
      <c r="F887" s="24">
        <v>515.59</v>
      </c>
      <c r="G887" s="22" t="s">
        <v>3323</v>
      </c>
      <c r="H887" s="22" t="s">
        <v>76</v>
      </c>
      <c r="I887" s="22" t="s">
        <v>70</v>
      </c>
      <c r="J887" s="22" t="s">
        <v>3324</v>
      </c>
      <c r="K887" s="22">
        <v>7</v>
      </c>
      <c r="L887" s="22" t="s">
        <v>82</v>
      </c>
      <c r="M887" s="22" t="s">
        <v>88</v>
      </c>
      <c r="N887" s="24">
        <v>2062.36</v>
      </c>
      <c r="O887" s="22">
        <f>YEAR(B887)</f>
        <v>2024</v>
      </c>
      <c r="P887" s="25">
        <f>DATE(YEAR(B887),MONTH(B887),1)</f>
        <v>45383</v>
      </c>
      <c r="Q887" s="22" t="str">
        <f>IF(N887&gt;Summary!$C$17,"Outlier","")</f>
        <v/>
      </c>
      <c r="R887" s="22" t="str">
        <f>IF(L887="","None",L887)</f>
        <v>FREESHIP</v>
      </c>
    </row>
    <row r="888" spans="1:18" x14ac:dyDescent="0.2">
      <c r="A888" s="22" t="s">
        <v>3325</v>
      </c>
      <c r="B888" s="23">
        <v>45224</v>
      </c>
      <c r="C888" s="22" t="s">
        <v>3326</v>
      </c>
      <c r="D888" s="22" t="s">
        <v>67</v>
      </c>
      <c r="E888" s="22">
        <v>1</v>
      </c>
      <c r="F888" s="24">
        <v>460.13</v>
      </c>
      <c r="G888" s="22" t="s">
        <v>3327</v>
      </c>
      <c r="H888" s="22" t="s">
        <v>76</v>
      </c>
      <c r="I888" s="22" t="s">
        <v>72</v>
      </c>
      <c r="J888" s="22" t="s">
        <v>3328</v>
      </c>
      <c r="K888" s="22">
        <v>1</v>
      </c>
      <c r="L888" s="22"/>
      <c r="M888" s="22" t="s">
        <v>88</v>
      </c>
      <c r="N888" s="24">
        <v>460.13</v>
      </c>
      <c r="O888" s="22">
        <f>YEAR(B888)</f>
        <v>2023</v>
      </c>
      <c r="P888" s="25">
        <f>DATE(YEAR(B888),MONTH(B888),1)</f>
        <v>45200</v>
      </c>
      <c r="Q888" s="22" t="str">
        <f>IF(N888&gt;Summary!$C$17,"Outlier","")</f>
        <v/>
      </c>
      <c r="R888" s="22" t="str">
        <f>IF(L888="","None",L888)</f>
        <v>None</v>
      </c>
    </row>
    <row r="889" spans="1:18" x14ac:dyDescent="0.2">
      <c r="A889" s="22" t="s">
        <v>3329</v>
      </c>
      <c r="B889" s="23">
        <v>45645</v>
      </c>
      <c r="C889" s="22" t="s">
        <v>3330</v>
      </c>
      <c r="D889" s="22" t="s">
        <v>61</v>
      </c>
      <c r="E889" s="22">
        <v>3</v>
      </c>
      <c r="F889" s="24">
        <v>171.66</v>
      </c>
      <c r="G889" s="22" t="s">
        <v>3331</v>
      </c>
      <c r="H889" s="22" t="s">
        <v>77</v>
      </c>
      <c r="I889" s="22" t="s">
        <v>69</v>
      </c>
      <c r="J889" s="22" t="s">
        <v>3332</v>
      </c>
      <c r="K889" s="22">
        <v>7</v>
      </c>
      <c r="L889" s="22"/>
      <c r="M889" s="22" t="s">
        <v>88</v>
      </c>
      <c r="N889" s="24">
        <v>514.98</v>
      </c>
      <c r="O889" s="22">
        <f>YEAR(B889)</f>
        <v>2024</v>
      </c>
      <c r="P889" s="25">
        <f>DATE(YEAR(B889),MONTH(B889),1)</f>
        <v>45627</v>
      </c>
      <c r="Q889" s="22" t="str">
        <f>IF(N889&gt;Summary!$C$17,"Outlier","")</f>
        <v/>
      </c>
      <c r="R889" s="22" t="str">
        <f>IF(L889="","None",L889)</f>
        <v>None</v>
      </c>
    </row>
    <row r="890" spans="1:18" x14ac:dyDescent="0.2">
      <c r="A890" s="22" t="s">
        <v>3333</v>
      </c>
      <c r="B890" s="23">
        <v>45496</v>
      </c>
      <c r="C890" s="22" t="s">
        <v>3334</v>
      </c>
      <c r="D890" s="22" t="s">
        <v>63</v>
      </c>
      <c r="E890" s="22">
        <v>2</v>
      </c>
      <c r="F890" s="24">
        <v>266.95</v>
      </c>
      <c r="G890" s="22" t="s">
        <v>3335</v>
      </c>
      <c r="H890" s="22" t="s">
        <v>76</v>
      </c>
      <c r="I890" s="22" t="s">
        <v>71</v>
      </c>
      <c r="J890" s="22" t="s">
        <v>3336</v>
      </c>
      <c r="K890" s="22">
        <v>3</v>
      </c>
      <c r="L890" s="22"/>
      <c r="M890" s="22" t="s">
        <v>89</v>
      </c>
      <c r="N890" s="24">
        <v>533.9</v>
      </c>
      <c r="O890" s="22">
        <f>YEAR(B890)</f>
        <v>2024</v>
      </c>
      <c r="P890" s="25">
        <f>DATE(YEAR(B890),MONTH(B890),1)</f>
        <v>45474</v>
      </c>
      <c r="Q890" s="22" t="str">
        <f>IF(N890&gt;Summary!$C$17,"Outlier","")</f>
        <v/>
      </c>
      <c r="R890" s="22" t="str">
        <f>IF(L890="","None",L890)</f>
        <v>None</v>
      </c>
    </row>
    <row r="891" spans="1:18" x14ac:dyDescent="0.2">
      <c r="A891" s="22" t="s">
        <v>3337</v>
      </c>
      <c r="B891" s="23">
        <v>45592</v>
      </c>
      <c r="C891" s="22" t="s">
        <v>3338</v>
      </c>
      <c r="D891" s="22" t="s">
        <v>65</v>
      </c>
      <c r="E891" s="22">
        <v>5</v>
      </c>
      <c r="F891" s="24">
        <v>650.72</v>
      </c>
      <c r="G891" s="22" t="s">
        <v>3339</v>
      </c>
      <c r="H891" s="22" t="s">
        <v>76</v>
      </c>
      <c r="I891" s="22" t="s">
        <v>73</v>
      </c>
      <c r="J891" s="22" t="s">
        <v>3340</v>
      </c>
      <c r="K891" s="22">
        <v>8</v>
      </c>
      <c r="L891" s="22" t="s">
        <v>84</v>
      </c>
      <c r="M891" s="22" t="s">
        <v>86</v>
      </c>
      <c r="N891" s="24">
        <v>3253.6</v>
      </c>
      <c r="O891" s="22">
        <f>YEAR(B891)</f>
        <v>2024</v>
      </c>
      <c r="P891" s="25">
        <f>DATE(YEAR(B891),MONTH(B891),1)</f>
        <v>45566</v>
      </c>
      <c r="Q891" s="22" t="str">
        <f>IF(N891&gt;Summary!$C$17,"Outlier","")</f>
        <v/>
      </c>
      <c r="R891" s="22" t="str">
        <f>IF(L891="","None",L891)</f>
        <v>WINTER15</v>
      </c>
    </row>
    <row r="892" spans="1:18" x14ac:dyDescent="0.2">
      <c r="A892" s="22" t="s">
        <v>3341</v>
      </c>
      <c r="B892" s="23">
        <v>45149</v>
      </c>
      <c r="C892" s="22" t="s">
        <v>3342</v>
      </c>
      <c r="D892" s="22" t="s">
        <v>63</v>
      </c>
      <c r="E892" s="22">
        <v>3</v>
      </c>
      <c r="F892" s="24">
        <v>439.53</v>
      </c>
      <c r="G892" s="22" t="s">
        <v>1923</v>
      </c>
      <c r="H892" s="22" t="s">
        <v>77</v>
      </c>
      <c r="I892" s="22" t="s">
        <v>71</v>
      </c>
      <c r="J892" s="22" t="s">
        <v>3343</v>
      </c>
      <c r="K892" s="22">
        <v>5</v>
      </c>
      <c r="L892" s="22"/>
      <c r="M892" s="22" t="s">
        <v>88</v>
      </c>
      <c r="N892" s="24">
        <v>1318.59</v>
      </c>
      <c r="O892" s="22">
        <f>YEAR(B892)</f>
        <v>2023</v>
      </c>
      <c r="P892" s="25">
        <f>DATE(YEAR(B892),MONTH(B892),1)</f>
        <v>45139</v>
      </c>
      <c r="Q892" s="22" t="str">
        <f>IF(N892&gt;Summary!$C$17,"Outlier","")</f>
        <v/>
      </c>
      <c r="R892" s="22" t="str">
        <f>IF(L892="","None",L892)</f>
        <v>None</v>
      </c>
    </row>
    <row r="893" spans="1:18" x14ac:dyDescent="0.2">
      <c r="A893" s="22" t="s">
        <v>3344</v>
      </c>
      <c r="B893" s="23">
        <v>45241</v>
      </c>
      <c r="C893" s="22" t="s">
        <v>3345</v>
      </c>
      <c r="D893" s="22" t="s">
        <v>65</v>
      </c>
      <c r="E893" s="22">
        <v>3</v>
      </c>
      <c r="F893" s="24">
        <v>654.54</v>
      </c>
      <c r="G893" s="22" t="s">
        <v>3346</v>
      </c>
      <c r="H893" s="22" t="s">
        <v>75</v>
      </c>
      <c r="I893" s="22" t="s">
        <v>72</v>
      </c>
      <c r="J893" s="22" t="s">
        <v>3347</v>
      </c>
      <c r="K893" s="22">
        <v>7</v>
      </c>
      <c r="L893" s="22" t="s">
        <v>83</v>
      </c>
      <c r="M893" s="22" t="s">
        <v>90</v>
      </c>
      <c r="N893" s="24">
        <v>1963.62</v>
      </c>
      <c r="O893" s="22">
        <f>YEAR(B893)</f>
        <v>2023</v>
      </c>
      <c r="P893" s="25">
        <f>DATE(YEAR(B893),MONTH(B893),1)</f>
        <v>45231</v>
      </c>
      <c r="Q893" s="22" t="str">
        <f>IF(N893&gt;Summary!$C$17,"Outlier","")</f>
        <v/>
      </c>
      <c r="R893" s="22" t="str">
        <f>IF(L893="","None",L893)</f>
        <v>SAVE10</v>
      </c>
    </row>
    <row r="894" spans="1:18" x14ac:dyDescent="0.2">
      <c r="A894" s="22" t="s">
        <v>3348</v>
      </c>
      <c r="B894" s="23">
        <v>45447</v>
      </c>
      <c r="C894" s="22" t="s">
        <v>3349</v>
      </c>
      <c r="D894" s="22" t="s">
        <v>66</v>
      </c>
      <c r="E894" s="22">
        <v>1</v>
      </c>
      <c r="F894" s="24">
        <v>394.53</v>
      </c>
      <c r="G894" s="22" t="s">
        <v>3350</v>
      </c>
      <c r="H894" s="22" t="s">
        <v>75</v>
      </c>
      <c r="I894" s="22" t="s">
        <v>70</v>
      </c>
      <c r="J894" s="22" t="s">
        <v>3351</v>
      </c>
      <c r="K894" s="22">
        <v>2</v>
      </c>
      <c r="L894" s="22" t="s">
        <v>82</v>
      </c>
      <c r="M894" s="22" t="s">
        <v>90</v>
      </c>
      <c r="N894" s="24">
        <v>394.53</v>
      </c>
      <c r="O894" s="22">
        <f>YEAR(B894)</f>
        <v>2024</v>
      </c>
      <c r="P894" s="25">
        <f>DATE(YEAR(B894),MONTH(B894),1)</f>
        <v>45444</v>
      </c>
      <c r="Q894" s="22" t="str">
        <f>IF(N894&gt;Summary!$C$17,"Outlier","")</f>
        <v/>
      </c>
      <c r="R894" s="22" t="str">
        <f>IF(L894="","None",L894)</f>
        <v>FREESHIP</v>
      </c>
    </row>
    <row r="895" spans="1:18" x14ac:dyDescent="0.2">
      <c r="A895" s="22" t="s">
        <v>3352</v>
      </c>
      <c r="B895" s="23">
        <v>45006</v>
      </c>
      <c r="C895" s="22" t="s">
        <v>3353</v>
      </c>
      <c r="D895" s="22" t="s">
        <v>65</v>
      </c>
      <c r="E895" s="22">
        <v>1</v>
      </c>
      <c r="F895" s="24">
        <v>678.01</v>
      </c>
      <c r="G895" s="22" t="s">
        <v>2019</v>
      </c>
      <c r="H895" s="22" t="s">
        <v>75</v>
      </c>
      <c r="I895" s="22" t="s">
        <v>71</v>
      </c>
      <c r="J895" s="22" t="s">
        <v>3354</v>
      </c>
      <c r="K895" s="22">
        <v>4</v>
      </c>
      <c r="L895" s="22" t="s">
        <v>82</v>
      </c>
      <c r="M895" s="22" t="s">
        <v>90</v>
      </c>
      <c r="N895" s="24">
        <v>678.01</v>
      </c>
      <c r="O895" s="22">
        <f>YEAR(B895)</f>
        <v>2023</v>
      </c>
      <c r="P895" s="25">
        <f>DATE(YEAR(B895),MONTH(B895),1)</f>
        <v>44986</v>
      </c>
      <c r="Q895" s="22" t="str">
        <f>IF(N895&gt;Summary!$C$17,"Outlier","")</f>
        <v/>
      </c>
      <c r="R895" s="22" t="str">
        <f>IF(L895="","None",L895)</f>
        <v>FREESHIP</v>
      </c>
    </row>
    <row r="896" spans="1:18" x14ac:dyDescent="0.2">
      <c r="A896" s="22" t="s">
        <v>3355</v>
      </c>
      <c r="B896" s="23">
        <v>45069</v>
      </c>
      <c r="C896" s="22" t="s">
        <v>3356</v>
      </c>
      <c r="D896" s="22" t="s">
        <v>64</v>
      </c>
      <c r="E896" s="22">
        <v>3</v>
      </c>
      <c r="F896" s="24">
        <v>575.01</v>
      </c>
      <c r="G896" s="22" t="s">
        <v>2136</v>
      </c>
      <c r="H896" s="22" t="s">
        <v>79</v>
      </c>
      <c r="I896" s="22" t="s">
        <v>73</v>
      </c>
      <c r="J896" s="22" t="s">
        <v>3357</v>
      </c>
      <c r="K896" s="22">
        <v>8</v>
      </c>
      <c r="L896" s="22" t="s">
        <v>84</v>
      </c>
      <c r="M896" s="22" t="s">
        <v>89</v>
      </c>
      <c r="N896" s="24">
        <v>1725.03</v>
      </c>
      <c r="O896" s="22">
        <f>YEAR(B896)</f>
        <v>2023</v>
      </c>
      <c r="P896" s="25">
        <f>DATE(YEAR(B896),MONTH(B896),1)</f>
        <v>45047</v>
      </c>
      <c r="Q896" s="22" t="str">
        <f>IF(N896&gt;Summary!$C$17,"Outlier","")</f>
        <v/>
      </c>
      <c r="R896" s="22" t="str">
        <f>IF(L896="","None",L896)</f>
        <v>WINTER15</v>
      </c>
    </row>
    <row r="897" spans="1:18" x14ac:dyDescent="0.2">
      <c r="A897" s="22" t="s">
        <v>3358</v>
      </c>
      <c r="B897" s="23">
        <v>45239</v>
      </c>
      <c r="C897" s="22" t="s">
        <v>3359</v>
      </c>
      <c r="D897" s="22" t="s">
        <v>61</v>
      </c>
      <c r="E897" s="22">
        <v>3</v>
      </c>
      <c r="F897" s="24">
        <v>154.63999999999999</v>
      </c>
      <c r="G897" s="22" t="s">
        <v>3360</v>
      </c>
      <c r="H897" s="22" t="s">
        <v>77</v>
      </c>
      <c r="I897" s="22" t="s">
        <v>71</v>
      </c>
      <c r="J897" s="22" t="s">
        <v>3361</v>
      </c>
      <c r="K897" s="22">
        <v>6</v>
      </c>
      <c r="L897" s="22" t="s">
        <v>84</v>
      </c>
      <c r="M897" s="22" t="s">
        <v>87</v>
      </c>
      <c r="N897" s="24">
        <v>463.92</v>
      </c>
      <c r="O897" s="22">
        <f>YEAR(B897)</f>
        <v>2023</v>
      </c>
      <c r="P897" s="25">
        <f>DATE(YEAR(B897),MONTH(B897),1)</f>
        <v>45231</v>
      </c>
      <c r="Q897" s="22" t="str">
        <f>IF(N897&gt;Summary!$C$17,"Outlier","")</f>
        <v/>
      </c>
      <c r="R897" s="22" t="str">
        <f>IF(L897="","None",L897)</f>
        <v>WINTER15</v>
      </c>
    </row>
    <row r="898" spans="1:18" x14ac:dyDescent="0.2">
      <c r="A898" s="22" t="s">
        <v>3362</v>
      </c>
      <c r="B898" s="23">
        <v>45583</v>
      </c>
      <c r="C898" s="22" t="s">
        <v>3363</v>
      </c>
      <c r="D898" s="22" t="s">
        <v>66</v>
      </c>
      <c r="E898" s="22">
        <v>3</v>
      </c>
      <c r="F898" s="24">
        <v>147.29</v>
      </c>
      <c r="G898" s="22" t="s">
        <v>155</v>
      </c>
      <c r="H898" s="22" t="s">
        <v>78</v>
      </c>
      <c r="I898" s="22" t="s">
        <v>70</v>
      </c>
      <c r="J898" s="22" t="s">
        <v>3364</v>
      </c>
      <c r="K898" s="22">
        <v>3</v>
      </c>
      <c r="L898" s="22" t="s">
        <v>82</v>
      </c>
      <c r="M898" s="22" t="s">
        <v>88</v>
      </c>
      <c r="N898" s="24">
        <v>441.87</v>
      </c>
      <c r="O898" s="22">
        <f>YEAR(B898)</f>
        <v>2024</v>
      </c>
      <c r="P898" s="25">
        <f>DATE(YEAR(B898),MONTH(B898),1)</f>
        <v>45566</v>
      </c>
      <c r="Q898" s="22" t="str">
        <f>IF(N898&gt;Summary!$C$17,"Outlier","")</f>
        <v/>
      </c>
      <c r="R898" s="22" t="str">
        <f>IF(L898="","None",L898)</f>
        <v>FREESHIP</v>
      </c>
    </row>
    <row r="899" spans="1:18" x14ac:dyDescent="0.2">
      <c r="A899" s="22" t="s">
        <v>3365</v>
      </c>
      <c r="B899" s="23">
        <v>45538</v>
      </c>
      <c r="C899" s="22" t="s">
        <v>3366</v>
      </c>
      <c r="D899" s="22" t="s">
        <v>63</v>
      </c>
      <c r="E899" s="22">
        <v>4</v>
      </c>
      <c r="F899" s="24">
        <v>481.48</v>
      </c>
      <c r="G899" s="22" t="s">
        <v>894</v>
      </c>
      <c r="H899" s="22" t="s">
        <v>78</v>
      </c>
      <c r="I899" s="22" t="s">
        <v>69</v>
      </c>
      <c r="J899" s="22" t="s">
        <v>3367</v>
      </c>
      <c r="K899" s="22">
        <v>5</v>
      </c>
      <c r="L899" s="22" t="s">
        <v>83</v>
      </c>
      <c r="M899" s="22" t="s">
        <v>89</v>
      </c>
      <c r="N899" s="24">
        <v>1925.92</v>
      </c>
      <c r="O899" s="22">
        <f>YEAR(B899)</f>
        <v>2024</v>
      </c>
      <c r="P899" s="25">
        <f>DATE(YEAR(B899),MONTH(B899),1)</f>
        <v>45536</v>
      </c>
      <c r="Q899" s="22" t="str">
        <f>IF(N899&gt;Summary!$C$17,"Outlier","")</f>
        <v/>
      </c>
      <c r="R899" s="22" t="str">
        <f>IF(L899="","None",L899)</f>
        <v>SAVE10</v>
      </c>
    </row>
    <row r="900" spans="1:18" x14ac:dyDescent="0.2">
      <c r="A900" s="22" t="s">
        <v>3368</v>
      </c>
      <c r="B900" s="23">
        <v>45721</v>
      </c>
      <c r="C900" s="22" t="s">
        <v>3369</v>
      </c>
      <c r="D900" s="22" t="s">
        <v>65</v>
      </c>
      <c r="E900" s="22">
        <v>3</v>
      </c>
      <c r="F900" s="24">
        <v>158.37</v>
      </c>
      <c r="G900" s="22" t="s">
        <v>3172</v>
      </c>
      <c r="H900" s="22" t="s">
        <v>75</v>
      </c>
      <c r="I900" s="22" t="s">
        <v>70</v>
      </c>
      <c r="J900" s="22" t="s">
        <v>3370</v>
      </c>
      <c r="K900" s="22">
        <v>6</v>
      </c>
      <c r="L900" s="22"/>
      <c r="M900" s="22" t="s">
        <v>90</v>
      </c>
      <c r="N900" s="24">
        <v>475.11</v>
      </c>
      <c r="O900" s="22">
        <f>YEAR(B900)</f>
        <v>2025</v>
      </c>
      <c r="P900" s="25">
        <f>DATE(YEAR(B900),MONTH(B900),1)</f>
        <v>45717</v>
      </c>
      <c r="Q900" s="22" t="str">
        <f>IF(N900&gt;Summary!$C$17,"Outlier","")</f>
        <v/>
      </c>
      <c r="R900" s="22" t="str">
        <f>IF(L900="","None",L900)</f>
        <v>None</v>
      </c>
    </row>
    <row r="901" spans="1:18" x14ac:dyDescent="0.2">
      <c r="A901" s="22" t="s">
        <v>3371</v>
      </c>
      <c r="B901" s="23">
        <v>45770</v>
      </c>
      <c r="C901" s="22" t="s">
        <v>3372</v>
      </c>
      <c r="D901" s="22" t="s">
        <v>62</v>
      </c>
      <c r="E901" s="22">
        <v>2</v>
      </c>
      <c r="F901" s="24">
        <v>323.37</v>
      </c>
      <c r="G901" s="22" t="s">
        <v>390</v>
      </c>
      <c r="H901" s="22" t="s">
        <v>79</v>
      </c>
      <c r="I901" s="22" t="s">
        <v>71</v>
      </c>
      <c r="J901" s="22" t="s">
        <v>3373</v>
      </c>
      <c r="K901" s="22">
        <v>3</v>
      </c>
      <c r="L901" s="22" t="s">
        <v>83</v>
      </c>
      <c r="M901" s="22" t="s">
        <v>89</v>
      </c>
      <c r="N901" s="24">
        <v>646.74</v>
      </c>
      <c r="O901" s="22">
        <f>YEAR(B901)</f>
        <v>2025</v>
      </c>
      <c r="P901" s="25">
        <f>DATE(YEAR(B901),MONTH(B901),1)</f>
        <v>45748</v>
      </c>
      <c r="Q901" s="22" t="str">
        <f>IF(N901&gt;Summary!$C$17,"Outlier","")</f>
        <v/>
      </c>
      <c r="R901" s="22" t="str">
        <f>IF(L901="","None",L901)</f>
        <v>SAVE10</v>
      </c>
    </row>
    <row r="902" spans="1:18" x14ac:dyDescent="0.2">
      <c r="A902" s="22" t="s">
        <v>3374</v>
      </c>
      <c r="B902" s="23">
        <v>45695</v>
      </c>
      <c r="C902" s="22" t="s">
        <v>3375</v>
      </c>
      <c r="D902" s="22" t="s">
        <v>63</v>
      </c>
      <c r="E902" s="22">
        <v>5</v>
      </c>
      <c r="F902" s="24">
        <v>73.83</v>
      </c>
      <c r="G902" s="22" t="s">
        <v>2070</v>
      </c>
      <c r="H902" s="22" t="s">
        <v>77</v>
      </c>
      <c r="I902" s="22" t="s">
        <v>71</v>
      </c>
      <c r="J902" s="22" t="s">
        <v>3376</v>
      </c>
      <c r="K902" s="22">
        <v>9</v>
      </c>
      <c r="L902" s="22"/>
      <c r="M902" s="22" t="s">
        <v>89</v>
      </c>
      <c r="N902" s="24">
        <v>369.15</v>
      </c>
      <c r="O902" s="22">
        <f>YEAR(B902)</f>
        <v>2025</v>
      </c>
      <c r="P902" s="25">
        <f>DATE(YEAR(B902),MONTH(B902),1)</f>
        <v>45689</v>
      </c>
      <c r="Q902" s="22" t="str">
        <f>IF(N902&gt;Summary!$C$17,"Outlier","")</f>
        <v/>
      </c>
      <c r="R902" s="22" t="str">
        <f>IF(L902="","None",L902)</f>
        <v>None</v>
      </c>
    </row>
    <row r="903" spans="1:18" x14ac:dyDescent="0.2">
      <c r="A903" s="22" t="s">
        <v>3377</v>
      </c>
      <c r="B903" s="23">
        <v>45410</v>
      </c>
      <c r="C903" s="22" t="s">
        <v>3378</v>
      </c>
      <c r="D903" s="22" t="s">
        <v>64</v>
      </c>
      <c r="E903" s="22">
        <v>1</v>
      </c>
      <c r="F903" s="24">
        <v>458.63</v>
      </c>
      <c r="G903" s="22" t="s">
        <v>493</v>
      </c>
      <c r="H903" s="22" t="s">
        <v>77</v>
      </c>
      <c r="I903" s="22" t="s">
        <v>72</v>
      </c>
      <c r="J903" s="22" t="s">
        <v>3379</v>
      </c>
      <c r="K903" s="22">
        <v>4</v>
      </c>
      <c r="L903" s="22" t="s">
        <v>84</v>
      </c>
      <c r="M903" s="22" t="s">
        <v>90</v>
      </c>
      <c r="N903" s="24">
        <v>458.63</v>
      </c>
      <c r="O903" s="22">
        <f>YEAR(B903)</f>
        <v>2024</v>
      </c>
      <c r="P903" s="25">
        <f>DATE(YEAR(B903),MONTH(B903),1)</f>
        <v>45383</v>
      </c>
      <c r="Q903" s="22" t="str">
        <f>IF(N903&gt;Summary!$C$17,"Outlier","")</f>
        <v/>
      </c>
      <c r="R903" s="22" t="str">
        <f>IF(L903="","None",L903)</f>
        <v>WINTER15</v>
      </c>
    </row>
    <row r="904" spans="1:18" x14ac:dyDescent="0.2">
      <c r="A904" s="22" t="s">
        <v>3380</v>
      </c>
      <c r="B904" s="23">
        <v>45486</v>
      </c>
      <c r="C904" s="22" t="s">
        <v>3381</v>
      </c>
      <c r="D904" s="22" t="s">
        <v>65</v>
      </c>
      <c r="E904" s="22">
        <v>4</v>
      </c>
      <c r="F904" s="24">
        <v>180.25</v>
      </c>
      <c r="G904" s="22" t="s">
        <v>367</v>
      </c>
      <c r="H904" s="22" t="s">
        <v>77</v>
      </c>
      <c r="I904" s="22" t="s">
        <v>73</v>
      </c>
      <c r="J904" s="22" t="s">
        <v>3382</v>
      </c>
      <c r="K904" s="22">
        <v>7</v>
      </c>
      <c r="L904" s="22"/>
      <c r="M904" s="22" t="s">
        <v>87</v>
      </c>
      <c r="N904" s="24">
        <v>721</v>
      </c>
      <c r="O904" s="22">
        <f>YEAR(B904)</f>
        <v>2024</v>
      </c>
      <c r="P904" s="25">
        <f>DATE(YEAR(B904),MONTH(B904),1)</f>
        <v>45474</v>
      </c>
      <c r="Q904" s="22" t="str">
        <f>IF(N904&gt;Summary!$C$17,"Outlier","")</f>
        <v/>
      </c>
      <c r="R904" s="22" t="str">
        <f>IF(L904="","None",L904)</f>
        <v>None</v>
      </c>
    </row>
    <row r="905" spans="1:18" x14ac:dyDescent="0.2">
      <c r="A905" s="22" t="s">
        <v>3383</v>
      </c>
      <c r="B905" s="23">
        <v>45063</v>
      </c>
      <c r="C905" s="22" t="s">
        <v>3384</v>
      </c>
      <c r="D905" s="22" t="s">
        <v>65</v>
      </c>
      <c r="E905" s="22">
        <v>3</v>
      </c>
      <c r="F905" s="24">
        <v>473.49</v>
      </c>
      <c r="G905" s="22" t="s">
        <v>3037</v>
      </c>
      <c r="H905" s="22" t="s">
        <v>76</v>
      </c>
      <c r="I905" s="22" t="s">
        <v>71</v>
      </c>
      <c r="J905" s="22" t="s">
        <v>3385</v>
      </c>
      <c r="K905" s="22">
        <v>7</v>
      </c>
      <c r="L905" s="22"/>
      <c r="M905" s="22" t="s">
        <v>86</v>
      </c>
      <c r="N905" s="24">
        <v>1420.47</v>
      </c>
      <c r="O905" s="22">
        <f>YEAR(B905)</f>
        <v>2023</v>
      </c>
      <c r="P905" s="25">
        <f>DATE(YEAR(B905),MONTH(B905),1)</f>
        <v>45047</v>
      </c>
      <c r="Q905" s="22" t="str">
        <f>IF(N905&gt;Summary!$C$17,"Outlier","")</f>
        <v/>
      </c>
      <c r="R905" s="22" t="str">
        <f>IF(L905="","None",L905)</f>
        <v>None</v>
      </c>
    </row>
    <row r="906" spans="1:18" x14ac:dyDescent="0.2">
      <c r="A906" s="22" t="s">
        <v>3386</v>
      </c>
      <c r="B906" s="23">
        <v>45693</v>
      </c>
      <c r="C906" s="22" t="s">
        <v>3387</v>
      </c>
      <c r="D906" s="22" t="s">
        <v>65</v>
      </c>
      <c r="E906" s="22">
        <v>4</v>
      </c>
      <c r="F906" s="24">
        <v>237.43</v>
      </c>
      <c r="G906" s="22" t="s">
        <v>1802</v>
      </c>
      <c r="H906" s="22" t="s">
        <v>75</v>
      </c>
      <c r="I906" s="22" t="s">
        <v>73</v>
      </c>
      <c r="J906" s="22" t="s">
        <v>3388</v>
      </c>
      <c r="K906" s="22">
        <v>8</v>
      </c>
      <c r="L906" s="22" t="s">
        <v>84</v>
      </c>
      <c r="M906" s="22" t="s">
        <v>90</v>
      </c>
      <c r="N906" s="24">
        <v>949.72</v>
      </c>
      <c r="O906" s="22">
        <f>YEAR(B906)</f>
        <v>2025</v>
      </c>
      <c r="P906" s="25">
        <f>DATE(YEAR(B906),MONTH(B906),1)</f>
        <v>45689</v>
      </c>
      <c r="Q906" s="22" t="str">
        <f>IF(N906&gt;Summary!$C$17,"Outlier","")</f>
        <v/>
      </c>
      <c r="R906" s="22" t="str">
        <f>IF(L906="","None",L906)</f>
        <v>WINTER15</v>
      </c>
    </row>
    <row r="907" spans="1:18" x14ac:dyDescent="0.2">
      <c r="A907" s="22" t="s">
        <v>3389</v>
      </c>
      <c r="B907" s="23">
        <v>45253</v>
      </c>
      <c r="C907" s="22" t="s">
        <v>3390</v>
      </c>
      <c r="D907" s="22" t="s">
        <v>63</v>
      </c>
      <c r="E907" s="22">
        <v>1</v>
      </c>
      <c r="F907" s="24">
        <v>442.39</v>
      </c>
      <c r="G907" s="22" t="s">
        <v>1333</v>
      </c>
      <c r="H907" s="22" t="s">
        <v>78</v>
      </c>
      <c r="I907" s="22" t="s">
        <v>71</v>
      </c>
      <c r="J907" s="22" t="s">
        <v>3391</v>
      </c>
      <c r="K907" s="22">
        <v>6</v>
      </c>
      <c r="L907" s="22" t="s">
        <v>82</v>
      </c>
      <c r="M907" s="22" t="s">
        <v>87</v>
      </c>
      <c r="N907" s="24">
        <v>442.39</v>
      </c>
      <c r="O907" s="22">
        <f>YEAR(B907)</f>
        <v>2023</v>
      </c>
      <c r="P907" s="25">
        <f>DATE(YEAR(B907),MONTH(B907),1)</f>
        <v>45231</v>
      </c>
      <c r="Q907" s="22" t="str">
        <f>IF(N907&gt;Summary!$C$17,"Outlier","")</f>
        <v/>
      </c>
      <c r="R907" s="22" t="str">
        <f>IF(L907="","None",L907)</f>
        <v>FREESHIP</v>
      </c>
    </row>
    <row r="908" spans="1:18" x14ac:dyDescent="0.2">
      <c r="A908" s="22" t="s">
        <v>3392</v>
      </c>
      <c r="B908" s="23">
        <v>45538</v>
      </c>
      <c r="C908" s="22" t="s">
        <v>3393</v>
      </c>
      <c r="D908" s="22" t="s">
        <v>65</v>
      </c>
      <c r="E908" s="22">
        <v>1</v>
      </c>
      <c r="F908" s="24">
        <v>62.12</v>
      </c>
      <c r="G908" s="22" t="s">
        <v>3394</v>
      </c>
      <c r="H908" s="22" t="s">
        <v>75</v>
      </c>
      <c r="I908" s="22" t="s">
        <v>72</v>
      </c>
      <c r="J908" s="22" t="s">
        <v>3395</v>
      </c>
      <c r="K908" s="22">
        <v>2</v>
      </c>
      <c r="L908" s="22"/>
      <c r="M908" s="22" t="s">
        <v>86</v>
      </c>
      <c r="N908" s="24">
        <v>62.12</v>
      </c>
      <c r="O908" s="22">
        <f>YEAR(B908)</f>
        <v>2024</v>
      </c>
      <c r="P908" s="25">
        <f>DATE(YEAR(B908),MONTH(B908),1)</f>
        <v>45536</v>
      </c>
      <c r="Q908" s="22" t="str">
        <f>IF(N908&gt;Summary!$C$17,"Outlier","")</f>
        <v/>
      </c>
      <c r="R908" s="22" t="str">
        <f>IF(L908="","None",L908)</f>
        <v>None</v>
      </c>
    </row>
    <row r="909" spans="1:18" x14ac:dyDescent="0.2">
      <c r="A909" s="22" t="s">
        <v>3396</v>
      </c>
      <c r="B909" s="23">
        <v>45508</v>
      </c>
      <c r="C909" s="22" t="s">
        <v>3397</v>
      </c>
      <c r="D909" s="22" t="s">
        <v>66</v>
      </c>
      <c r="E909" s="22">
        <v>5</v>
      </c>
      <c r="F909" s="24">
        <v>298.39</v>
      </c>
      <c r="G909" s="22" t="s">
        <v>638</v>
      </c>
      <c r="H909" s="22" t="s">
        <v>78</v>
      </c>
      <c r="I909" s="22" t="s">
        <v>73</v>
      </c>
      <c r="J909" s="22" t="s">
        <v>3398</v>
      </c>
      <c r="K909" s="22">
        <v>7</v>
      </c>
      <c r="L909" s="22" t="s">
        <v>84</v>
      </c>
      <c r="M909" s="22" t="s">
        <v>90</v>
      </c>
      <c r="N909" s="24">
        <v>1491.95</v>
      </c>
      <c r="O909" s="22">
        <f>YEAR(B909)</f>
        <v>2024</v>
      </c>
      <c r="P909" s="25">
        <f>DATE(YEAR(B909),MONTH(B909),1)</f>
        <v>45505</v>
      </c>
      <c r="Q909" s="22" t="str">
        <f>IF(N909&gt;Summary!$C$17,"Outlier","")</f>
        <v/>
      </c>
      <c r="R909" s="22" t="str">
        <f>IF(L909="","None",L909)</f>
        <v>WINTER15</v>
      </c>
    </row>
    <row r="910" spans="1:18" x14ac:dyDescent="0.2">
      <c r="A910" s="22" t="s">
        <v>3399</v>
      </c>
      <c r="B910" s="23">
        <v>45783</v>
      </c>
      <c r="C910" s="22" t="s">
        <v>3400</v>
      </c>
      <c r="D910" s="22" t="s">
        <v>66</v>
      </c>
      <c r="E910" s="22">
        <v>2</v>
      </c>
      <c r="F910" s="24">
        <v>697.93</v>
      </c>
      <c r="G910" s="22" t="s">
        <v>800</v>
      </c>
      <c r="H910" s="22" t="s">
        <v>76</v>
      </c>
      <c r="I910" s="22" t="s">
        <v>73</v>
      </c>
      <c r="J910" s="22" t="s">
        <v>3401</v>
      </c>
      <c r="K910" s="22">
        <v>2</v>
      </c>
      <c r="L910" s="22" t="s">
        <v>83</v>
      </c>
      <c r="M910" s="22" t="s">
        <v>88</v>
      </c>
      <c r="N910" s="24">
        <v>1395.86</v>
      </c>
      <c r="O910" s="22">
        <f>YEAR(B910)</f>
        <v>2025</v>
      </c>
      <c r="P910" s="25">
        <f>DATE(YEAR(B910),MONTH(B910),1)</f>
        <v>45778</v>
      </c>
      <c r="Q910" s="22" t="str">
        <f>IF(N910&gt;Summary!$C$17,"Outlier","")</f>
        <v/>
      </c>
      <c r="R910" s="22" t="str">
        <f>IF(L910="","None",L910)</f>
        <v>SAVE10</v>
      </c>
    </row>
    <row r="911" spans="1:18" x14ac:dyDescent="0.2">
      <c r="A911" s="22" t="s">
        <v>3402</v>
      </c>
      <c r="B911" s="23">
        <v>45439</v>
      </c>
      <c r="C911" s="22" t="s">
        <v>3403</v>
      </c>
      <c r="D911" s="22" t="s">
        <v>64</v>
      </c>
      <c r="E911" s="22">
        <v>2</v>
      </c>
      <c r="F911" s="24">
        <v>291.85000000000002</v>
      </c>
      <c r="G911" s="22" t="s">
        <v>203</v>
      </c>
      <c r="H911" s="22" t="s">
        <v>75</v>
      </c>
      <c r="I911" s="22" t="s">
        <v>70</v>
      </c>
      <c r="J911" s="22" t="s">
        <v>3404</v>
      </c>
      <c r="K911" s="22">
        <v>5</v>
      </c>
      <c r="L911" s="22" t="s">
        <v>82</v>
      </c>
      <c r="M911" s="22" t="s">
        <v>89</v>
      </c>
      <c r="N911" s="24">
        <v>583.70000000000005</v>
      </c>
      <c r="O911" s="22">
        <f>YEAR(B911)</f>
        <v>2024</v>
      </c>
      <c r="P911" s="25">
        <f>DATE(YEAR(B911),MONTH(B911),1)</f>
        <v>45413</v>
      </c>
      <c r="Q911" s="22" t="str">
        <f>IF(N911&gt;Summary!$C$17,"Outlier","")</f>
        <v/>
      </c>
      <c r="R911" s="22" t="str">
        <f>IF(L911="","None",L911)</f>
        <v>FREESHIP</v>
      </c>
    </row>
    <row r="912" spans="1:18" x14ac:dyDescent="0.2">
      <c r="A912" s="22" t="s">
        <v>3405</v>
      </c>
      <c r="B912" s="23">
        <v>45443</v>
      </c>
      <c r="C912" s="22" t="s">
        <v>3406</v>
      </c>
      <c r="D912" s="22" t="s">
        <v>62</v>
      </c>
      <c r="E912" s="22">
        <v>3</v>
      </c>
      <c r="F912" s="24">
        <v>308.98</v>
      </c>
      <c r="G912" s="22" t="s">
        <v>421</v>
      </c>
      <c r="H912" s="22" t="s">
        <v>75</v>
      </c>
      <c r="I912" s="22" t="s">
        <v>69</v>
      </c>
      <c r="J912" s="22" t="s">
        <v>3407</v>
      </c>
      <c r="K912" s="22">
        <v>3</v>
      </c>
      <c r="L912" s="22" t="s">
        <v>83</v>
      </c>
      <c r="M912" s="22" t="s">
        <v>89</v>
      </c>
      <c r="N912" s="24">
        <v>926.94</v>
      </c>
      <c r="O912" s="22">
        <f>YEAR(B912)</f>
        <v>2024</v>
      </c>
      <c r="P912" s="25">
        <f>DATE(YEAR(B912),MONTH(B912),1)</f>
        <v>45413</v>
      </c>
      <c r="Q912" s="22" t="str">
        <f>IF(N912&gt;Summary!$C$17,"Outlier","")</f>
        <v/>
      </c>
      <c r="R912" s="22" t="str">
        <f>IF(L912="","None",L912)</f>
        <v>SAVE10</v>
      </c>
    </row>
    <row r="913" spans="1:18" x14ac:dyDescent="0.2">
      <c r="A913" s="22" t="s">
        <v>3408</v>
      </c>
      <c r="B913" s="23">
        <v>45517</v>
      </c>
      <c r="C913" s="22" t="s">
        <v>3409</v>
      </c>
      <c r="D913" s="22" t="s">
        <v>66</v>
      </c>
      <c r="E913" s="22">
        <v>5</v>
      </c>
      <c r="F913" s="24">
        <v>396.86</v>
      </c>
      <c r="G913" s="22" t="s">
        <v>579</v>
      </c>
      <c r="H913" s="22" t="s">
        <v>75</v>
      </c>
      <c r="I913" s="22" t="s">
        <v>73</v>
      </c>
      <c r="J913" s="22" t="s">
        <v>3410</v>
      </c>
      <c r="K913" s="22">
        <v>9</v>
      </c>
      <c r="L913" s="22" t="s">
        <v>83</v>
      </c>
      <c r="M913" s="22" t="s">
        <v>89</v>
      </c>
      <c r="N913" s="24">
        <v>1984.3</v>
      </c>
      <c r="O913" s="22">
        <f>YEAR(B913)</f>
        <v>2024</v>
      </c>
      <c r="P913" s="25">
        <f>DATE(YEAR(B913),MONTH(B913),1)</f>
        <v>45505</v>
      </c>
      <c r="Q913" s="22" t="str">
        <f>IF(N913&gt;Summary!$C$17,"Outlier","")</f>
        <v/>
      </c>
      <c r="R913" s="22" t="str">
        <f>IF(L913="","None",L913)</f>
        <v>SAVE10</v>
      </c>
    </row>
    <row r="914" spans="1:18" x14ac:dyDescent="0.2">
      <c r="A914" s="22" t="s">
        <v>3411</v>
      </c>
      <c r="B914" s="23">
        <v>45313</v>
      </c>
      <c r="C914" s="22" t="s">
        <v>3412</v>
      </c>
      <c r="D914" s="22" t="s">
        <v>66</v>
      </c>
      <c r="E914" s="22">
        <v>2</v>
      </c>
      <c r="F914" s="24">
        <v>139.69</v>
      </c>
      <c r="G914" s="22" t="s">
        <v>465</v>
      </c>
      <c r="H914" s="22" t="s">
        <v>79</v>
      </c>
      <c r="I914" s="22" t="s">
        <v>72</v>
      </c>
      <c r="J914" s="22" t="s">
        <v>3413</v>
      </c>
      <c r="K914" s="22">
        <v>7</v>
      </c>
      <c r="L914" s="22" t="s">
        <v>82</v>
      </c>
      <c r="M914" s="22" t="s">
        <v>86</v>
      </c>
      <c r="N914" s="24">
        <v>279.38</v>
      </c>
      <c r="O914" s="22">
        <f>YEAR(B914)</f>
        <v>2024</v>
      </c>
      <c r="P914" s="25">
        <f>DATE(YEAR(B914),MONTH(B914),1)</f>
        <v>45292</v>
      </c>
      <c r="Q914" s="22" t="str">
        <f>IF(N914&gt;Summary!$C$17,"Outlier","")</f>
        <v/>
      </c>
      <c r="R914" s="22" t="str">
        <f>IF(L914="","None",L914)</f>
        <v>FREESHIP</v>
      </c>
    </row>
    <row r="915" spans="1:18" x14ac:dyDescent="0.2">
      <c r="A915" s="22" t="s">
        <v>3414</v>
      </c>
      <c r="B915" s="23">
        <v>44973</v>
      </c>
      <c r="C915" s="22" t="s">
        <v>3415</v>
      </c>
      <c r="D915" s="22" t="s">
        <v>62</v>
      </c>
      <c r="E915" s="22">
        <v>5</v>
      </c>
      <c r="F915" s="24">
        <v>475.95</v>
      </c>
      <c r="G915" s="22" t="s">
        <v>864</v>
      </c>
      <c r="H915" s="22" t="s">
        <v>76</v>
      </c>
      <c r="I915" s="22" t="s">
        <v>72</v>
      </c>
      <c r="J915" s="22" t="s">
        <v>3416</v>
      </c>
      <c r="K915" s="22">
        <v>8</v>
      </c>
      <c r="L915" s="22" t="s">
        <v>84</v>
      </c>
      <c r="M915" s="22" t="s">
        <v>87</v>
      </c>
      <c r="N915" s="24">
        <v>2379.75</v>
      </c>
      <c r="O915" s="22">
        <f>YEAR(B915)</f>
        <v>2023</v>
      </c>
      <c r="P915" s="25">
        <f>DATE(YEAR(B915),MONTH(B915),1)</f>
        <v>44958</v>
      </c>
      <c r="Q915" s="22" t="str">
        <f>IF(N915&gt;Summary!$C$17,"Outlier","")</f>
        <v/>
      </c>
      <c r="R915" s="22" t="str">
        <f>IF(L915="","None",L915)</f>
        <v>WINTER15</v>
      </c>
    </row>
    <row r="916" spans="1:18" x14ac:dyDescent="0.2">
      <c r="A916" s="22" t="s">
        <v>3417</v>
      </c>
      <c r="B916" s="23">
        <v>45698</v>
      </c>
      <c r="C916" s="22" t="s">
        <v>3418</v>
      </c>
      <c r="D916" s="22" t="s">
        <v>66</v>
      </c>
      <c r="E916" s="22">
        <v>1</v>
      </c>
      <c r="F916" s="24">
        <v>626.6</v>
      </c>
      <c r="G916" s="22" t="s">
        <v>1768</v>
      </c>
      <c r="H916" s="22" t="s">
        <v>78</v>
      </c>
      <c r="I916" s="22" t="s">
        <v>72</v>
      </c>
      <c r="J916" s="22" t="s">
        <v>3419</v>
      </c>
      <c r="K916" s="22">
        <v>4</v>
      </c>
      <c r="L916" s="22" t="s">
        <v>84</v>
      </c>
      <c r="M916" s="22" t="s">
        <v>87</v>
      </c>
      <c r="N916" s="24">
        <v>626.6</v>
      </c>
      <c r="O916" s="22">
        <f>YEAR(B916)</f>
        <v>2025</v>
      </c>
      <c r="P916" s="25">
        <f>DATE(YEAR(B916),MONTH(B916),1)</f>
        <v>45689</v>
      </c>
      <c r="Q916" s="22" t="str">
        <f>IF(N916&gt;Summary!$C$17,"Outlier","")</f>
        <v/>
      </c>
      <c r="R916" s="22" t="str">
        <f>IF(L916="","None",L916)</f>
        <v>WINTER15</v>
      </c>
    </row>
    <row r="917" spans="1:18" x14ac:dyDescent="0.2">
      <c r="A917" s="22" t="s">
        <v>3420</v>
      </c>
      <c r="B917" s="23">
        <v>45338</v>
      </c>
      <c r="C917" s="22" t="s">
        <v>3421</v>
      </c>
      <c r="D917" s="22" t="s">
        <v>63</v>
      </c>
      <c r="E917" s="22">
        <v>4</v>
      </c>
      <c r="F917" s="24">
        <v>502.99</v>
      </c>
      <c r="G917" s="22" t="s">
        <v>3422</v>
      </c>
      <c r="H917" s="22" t="s">
        <v>77</v>
      </c>
      <c r="I917" s="22" t="s">
        <v>70</v>
      </c>
      <c r="J917" s="22" t="s">
        <v>3423</v>
      </c>
      <c r="K917" s="22">
        <v>4</v>
      </c>
      <c r="L917" s="22" t="s">
        <v>84</v>
      </c>
      <c r="M917" s="22" t="s">
        <v>90</v>
      </c>
      <c r="N917" s="24">
        <v>2011.96</v>
      </c>
      <c r="O917" s="22">
        <f>YEAR(B917)</f>
        <v>2024</v>
      </c>
      <c r="P917" s="25">
        <f>DATE(YEAR(B917),MONTH(B917),1)</f>
        <v>45323</v>
      </c>
      <c r="Q917" s="22" t="str">
        <f>IF(N917&gt;Summary!$C$17,"Outlier","")</f>
        <v/>
      </c>
      <c r="R917" s="22" t="str">
        <f>IF(L917="","None",L917)</f>
        <v>WINTER15</v>
      </c>
    </row>
    <row r="918" spans="1:18" x14ac:dyDescent="0.2">
      <c r="A918" s="22" t="s">
        <v>3424</v>
      </c>
      <c r="B918" s="23">
        <v>45464</v>
      </c>
      <c r="C918" s="22" t="s">
        <v>3425</v>
      </c>
      <c r="D918" s="22" t="s">
        <v>62</v>
      </c>
      <c r="E918" s="22">
        <v>5</v>
      </c>
      <c r="F918" s="24">
        <v>578.83000000000004</v>
      </c>
      <c r="G918" s="22" t="s">
        <v>2918</v>
      </c>
      <c r="H918" s="22" t="s">
        <v>75</v>
      </c>
      <c r="I918" s="22" t="s">
        <v>72</v>
      </c>
      <c r="J918" s="22" t="s">
        <v>3426</v>
      </c>
      <c r="K918" s="22">
        <v>6</v>
      </c>
      <c r="L918" s="22"/>
      <c r="M918" s="22" t="s">
        <v>90</v>
      </c>
      <c r="N918" s="24">
        <v>2894.15</v>
      </c>
      <c r="O918" s="22">
        <f>YEAR(B918)</f>
        <v>2024</v>
      </c>
      <c r="P918" s="25">
        <f>DATE(YEAR(B918),MONTH(B918),1)</f>
        <v>45444</v>
      </c>
      <c r="Q918" s="22" t="str">
        <f>IF(N918&gt;Summary!$C$17,"Outlier","")</f>
        <v/>
      </c>
      <c r="R918" s="22" t="str">
        <f>IF(L918="","None",L918)</f>
        <v>None</v>
      </c>
    </row>
    <row r="919" spans="1:18" x14ac:dyDescent="0.2">
      <c r="A919" s="22" t="s">
        <v>3427</v>
      </c>
      <c r="B919" s="23">
        <v>45677</v>
      </c>
      <c r="C919" s="22" t="s">
        <v>3428</v>
      </c>
      <c r="D919" s="22" t="s">
        <v>63</v>
      </c>
      <c r="E919" s="22">
        <v>5</v>
      </c>
      <c r="F919" s="24">
        <v>383.82</v>
      </c>
      <c r="G919" s="22" t="s">
        <v>3429</v>
      </c>
      <c r="H919" s="22" t="s">
        <v>76</v>
      </c>
      <c r="I919" s="22" t="s">
        <v>72</v>
      </c>
      <c r="J919" s="22" t="s">
        <v>3430</v>
      </c>
      <c r="K919" s="22">
        <v>7</v>
      </c>
      <c r="L919" s="22" t="s">
        <v>82</v>
      </c>
      <c r="M919" s="22" t="s">
        <v>88</v>
      </c>
      <c r="N919" s="24">
        <v>1919.1</v>
      </c>
      <c r="O919" s="22">
        <f>YEAR(B919)</f>
        <v>2025</v>
      </c>
      <c r="P919" s="25">
        <f>DATE(YEAR(B919),MONTH(B919),1)</f>
        <v>45658</v>
      </c>
      <c r="Q919" s="22" t="str">
        <f>IF(N919&gt;Summary!$C$17,"Outlier","")</f>
        <v/>
      </c>
      <c r="R919" s="22" t="str">
        <f>IF(L919="","None",L919)</f>
        <v>FREESHIP</v>
      </c>
    </row>
    <row r="920" spans="1:18" x14ac:dyDescent="0.2">
      <c r="A920" s="22" t="s">
        <v>3431</v>
      </c>
      <c r="B920" s="23">
        <v>45832</v>
      </c>
      <c r="C920" s="22" t="s">
        <v>3432</v>
      </c>
      <c r="D920" s="22" t="s">
        <v>63</v>
      </c>
      <c r="E920" s="22">
        <v>5</v>
      </c>
      <c r="F920" s="24">
        <v>368.25</v>
      </c>
      <c r="G920" s="22" t="s">
        <v>147</v>
      </c>
      <c r="H920" s="22" t="s">
        <v>79</v>
      </c>
      <c r="I920" s="22" t="s">
        <v>69</v>
      </c>
      <c r="J920" s="22" t="s">
        <v>3433</v>
      </c>
      <c r="K920" s="22">
        <v>5</v>
      </c>
      <c r="L920" s="22"/>
      <c r="M920" s="22" t="s">
        <v>89</v>
      </c>
      <c r="N920" s="24">
        <v>1841.25</v>
      </c>
      <c r="O920" s="22">
        <f>YEAR(B920)</f>
        <v>2025</v>
      </c>
      <c r="P920" s="25">
        <f>DATE(YEAR(B920),MONTH(B920),1)</f>
        <v>45809</v>
      </c>
      <c r="Q920" s="22" t="str">
        <f>IF(N920&gt;Summary!$C$17,"Outlier","")</f>
        <v/>
      </c>
      <c r="R920" s="22" t="str">
        <f>IF(L920="","None",L920)</f>
        <v>None</v>
      </c>
    </row>
    <row r="921" spans="1:18" x14ac:dyDescent="0.2">
      <c r="A921" s="22" t="s">
        <v>3434</v>
      </c>
      <c r="B921" s="23">
        <v>45695</v>
      </c>
      <c r="C921" s="22" t="s">
        <v>3435</v>
      </c>
      <c r="D921" s="22" t="s">
        <v>62</v>
      </c>
      <c r="E921" s="22">
        <v>2</v>
      </c>
      <c r="F921" s="24">
        <v>374.6</v>
      </c>
      <c r="G921" s="22" t="s">
        <v>587</v>
      </c>
      <c r="H921" s="22" t="s">
        <v>79</v>
      </c>
      <c r="I921" s="22" t="s">
        <v>70</v>
      </c>
      <c r="J921" s="22" t="s">
        <v>3436</v>
      </c>
      <c r="K921" s="22">
        <v>3</v>
      </c>
      <c r="L921" s="22" t="s">
        <v>82</v>
      </c>
      <c r="M921" s="22" t="s">
        <v>90</v>
      </c>
      <c r="N921" s="24">
        <v>749.2</v>
      </c>
      <c r="O921" s="22">
        <f>YEAR(B921)</f>
        <v>2025</v>
      </c>
      <c r="P921" s="25">
        <f>DATE(YEAR(B921),MONTH(B921),1)</f>
        <v>45689</v>
      </c>
      <c r="Q921" s="22" t="str">
        <f>IF(N921&gt;Summary!$C$17,"Outlier","")</f>
        <v/>
      </c>
      <c r="R921" s="22" t="str">
        <f>IF(L921="","None",L921)</f>
        <v>FREESHIP</v>
      </c>
    </row>
    <row r="922" spans="1:18" x14ac:dyDescent="0.2">
      <c r="A922" s="22" t="s">
        <v>3437</v>
      </c>
      <c r="B922" s="23">
        <v>45728</v>
      </c>
      <c r="C922" s="22" t="s">
        <v>3438</v>
      </c>
      <c r="D922" s="22" t="s">
        <v>64</v>
      </c>
      <c r="E922" s="22">
        <v>2</v>
      </c>
      <c r="F922" s="24">
        <v>428.09</v>
      </c>
      <c r="G922" s="22" t="s">
        <v>1321</v>
      </c>
      <c r="H922" s="22" t="s">
        <v>76</v>
      </c>
      <c r="I922" s="22" t="s">
        <v>72</v>
      </c>
      <c r="J922" s="22" t="s">
        <v>3439</v>
      </c>
      <c r="K922" s="22">
        <v>6</v>
      </c>
      <c r="L922" s="22"/>
      <c r="M922" s="22" t="s">
        <v>89</v>
      </c>
      <c r="N922" s="24">
        <v>856.18</v>
      </c>
      <c r="O922" s="22">
        <f>YEAR(B922)</f>
        <v>2025</v>
      </c>
      <c r="P922" s="25">
        <f>DATE(YEAR(B922),MONTH(B922),1)</f>
        <v>45717</v>
      </c>
      <c r="Q922" s="22" t="str">
        <f>IF(N922&gt;Summary!$C$17,"Outlier","")</f>
        <v/>
      </c>
      <c r="R922" s="22" t="str">
        <f>IF(L922="","None",L922)</f>
        <v>None</v>
      </c>
    </row>
    <row r="923" spans="1:18" x14ac:dyDescent="0.2">
      <c r="A923" s="22" t="s">
        <v>3440</v>
      </c>
      <c r="B923" s="23">
        <v>45131</v>
      </c>
      <c r="C923" s="22" t="s">
        <v>3441</v>
      </c>
      <c r="D923" s="22" t="s">
        <v>64</v>
      </c>
      <c r="E923" s="22">
        <v>1</v>
      </c>
      <c r="F923" s="24">
        <v>438.93</v>
      </c>
      <c r="G923" s="22" t="s">
        <v>3442</v>
      </c>
      <c r="H923" s="22" t="s">
        <v>78</v>
      </c>
      <c r="I923" s="22" t="s">
        <v>73</v>
      </c>
      <c r="J923" s="22" t="s">
        <v>3443</v>
      </c>
      <c r="K923" s="22">
        <v>3</v>
      </c>
      <c r="L923" s="22" t="s">
        <v>83</v>
      </c>
      <c r="M923" s="22" t="s">
        <v>90</v>
      </c>
      <c r="N923" s="24">
        <v>438.93</v>
      </c>
      <c r="O923" s="22">
        <f>YEAR(B923)</f>
        <v>2023</v>
      </c>
      <c r="P923" s="25">
        <f>DATE(YEAR(B923),MONTH(B923),1)</f>
        <v>45108</v>
      </c>
      <c r="Q923" s="22" t="str">
        <f>IF(N923&gt;Summary!$C$17,"Outlier","")</f>
        <v/>
      </c>
      <c r="R923" s="22" t="str">
        <f>IF(L923="","None",L923)</f>
        <v>SAVE10</v>
      </c>
    </row>
    <row r="924" spans="1:18" x14ac:dyDescent="0.2">
      <c r="A924" s="22" t="s">
        <v>3444</v>
      </c>
      <c r="B924" s="23">
        <v>45460</v>
      </c>
      <c r="C924" s="22" t="s">
        <v>3445</v>
      </c>
      <c r="D924" s="22" t="s">
        <v>66</v>
      </c>
      <c r="E924" s="22">
        <v>2</v>
      </c>
      <c r="F924" s="24">
        <v>563.82000000000005</v>
      </c>
      <c r="G924" s="22" t="s">
        <v>3446</v>
      </c>
      <c r="H924" s="22" t="s">
        <v>76</v>
      </c>
      <c r="I924" s="22" t="s">
        <v>71</v>
      </c>
      <c r="J924" s="22" t="s">
        <v>3447</v>
      </c>
      <c r="K924" s="22">
        <v>3</v>
      </c>
      <c r="L924" s="22"/>
      <c r="M924" s="22" t="s">
        <v>89</v>
      </c>
      <c r="N924" s="24">
        <v>1127.6400000000001</v>
      </c>
      <c r="O924" s="22">
        <f>YEAR(B924)</f>
        <v>2024</v>
      </c>
      <c r="P924" s="25">
        <f>DATE(YEAR(B924),MONTH(B924),1)</f>
        <v>45444</v>
      </c>
      <c r="Q924" s="22" t="str">
        <f>IF(N924&gt;Summary!$C$17,"Outlier","")</f>
        <v/>
      </c>
      <c r="R924" s="22" t="str">
        <f>IF(L924="","None",L924)</f>
        <v>None</v>
      </c>
    </row>
    <row r="925" spans="1:18" x14ac:dyDescent="0.2">
      <c r="A925" s="22" t="s">
        <v>3448</v>
      </c>
      <c r="B925" s="23">
        <v>44968</v>
      </c>
      <c r="C925" s="22" t="s">
        <v>3449</v>
      </c>
      <c r="D925" s="22" t="s">
        <v>62</v>
      </c>
      <c r="E925" s="22">
        <v>3</v>
      </c>
      <c r="F925" s="24">
        <v>649.92999999999995</v>
      </c>
      <c r="G925" s="22" t="s">
        <v>3429</v>
      </c>
      <c r="H925" s="22" t="s">
        <v>76</v>
      </c>
      <c r="I925" s="22" t="s">
        <v>71</v>
      </c>
      <c r="J925" s="22" t="s">
        <v>3450</v>
      </c>
      <c r="K925" s="22">
        <v>7</v>
      </c>
      <c r="L925" s="22" t="s">
        <v>84</v>
      </c>
      <c r="M925" s="22" t="s">
        <v>87</v>
      </c>
      <c r="N925" s="24">
        <v>1949.79</v>
      </c>
      <c r="O925" s="22">
        <f>YEAR(B925)</f>
        <v>2023</v>
      </c>
      <c r="P925" s="25">
        <f>DATE(YEAR(B925),MONTH(B925),1)</f>
        <v>44958</v>
      </c>
      <c r="Q925" s="22" t="str">
        <f>IF(N925&gt;Summary!$C$17,"Outlier","")</f>
        <v/>
      </c>
      <c r="R925" s="22" t="str">
        <f>IF(L925="","None",L925)</f>
        <v>WINTER15</v>
      </c>
    </row>
    <row r="926" spans="1:18" x14ac:dyDescent="0.2">
      <c r="A926" s="22" t="s">
        <v>3451</v>
      </c>
      <c r="B926" s="23">
        <v>45738</v>
      </c>
      <c r="C926" s="22" t="s">
        <v>3452</v>
      </c>
      <c r="D926" s="22" t="s">
        <v>62</v>
      </c>
      <c r="E926" s="22">
        <v>5</v>
      </c>
      <c r="F926" s="24">
        <v>268.43</v>
      </c>
      <c r="G926" s="22" t="s">
        <v>2070</v>
      </c>
      <c r="H926" s="22" t="s">
        <v>75</v>
      </c>
      <c r="I926" s="22" t="s">
        <v>72</v>
      </c>
      <c r="J926" s="22" t="s">
        <v>3453</v>
      </c>
      <c r="K926" s="22">
        <v>5</v>
      </c>
      <c r="L926" s="22" t="s">
        <v>83</v>
      </c>
      <c r="M926" s="22" t="s">
        <v>86</v>
      </c>
      <c r="N926" s="24">
        <v>1342.15</v>
      </c>
      <c r="O926" s="22">
        <f>YEAR(B926)</f>
        <v>2025</v>
      </c>
      <c r="P926" s="25">
        <f>DATE(YEAR(B926),MONTH(B926),1)</f>
        <v>45717</v>
      </c>
      <c r="Q926" s="22" t="str">
        <f>IF(N926&gt;Summary!$C$17,"Outlier","")</f>
        <v/>
      </c>
      <c r="R926" s="22" t="str">
        <f>IF(L926="","None",L926)</f>
        <v>SAVE10</v>
      </c>
    </row>
    <row r="927" spans="1:18" x14ac:dyDescent="0.2">
      <c r="A927" s="22" t="s">
        <v>3454</v>
      </c>
      <c r="B927" s="23">
        <v>45646</v>
      </c>
      <c r="C927" s="22" t="s">
        <v>3455</v>
      </c>
      <c r="D927" s="22" t="s">
        <v>65</v>
      </c>
      <c r="E927" s="22">
        <v>5</v>
      </c>
      <c r="F927" s="24">
        <v>502.47</v>
      </c>
      <c r="G927" s="22" t="s">
        <v>1639</v>
      </c>
      <c r="H927" s="22" t="s">
        <v>79</v>
      </c>
      <c r="I927" s="22" t="s">
        <v>70</v>
      </c>
      <c r="J927" s="22" t="s">
        <v>3456</v>
      </c>
      <c r="K927" s="22">
        <v>10</v>
      </c>
      <c r="L927" s="22" t="s">
        <v>84</v>
      </c>
      <c r="M927" s="22" t="s">
        <v>86</v>
      </c>
      <c r="N927" s="24">
        <v>2512.35</v>
      </c>
      <c r="O927" s="22">
        <f>YEAR(B927)</f>
        <v>2024</v>
      </c>
      <c r="P927" s="25">
        <f>DATE(YEAR(B927),MONTH(B927),1)</f>
        <v>45627</v>
      </c>
      <c r="Q927" s="22" t="str">
        <f>IF(N927&gt;Summary!$C$17,"Outlier","")</f>
        <v/>
      </c>
      <c r="R927" s="22" t="str">
        <f>IF(L927="","None",L927)</f>
        <v>WINTER15</v>
      </c>
    </row>
    <row r="928" spans="1:18" x14ac:dyDescent="0.2">
      <c r="A928" s="22" t="s">
        <v>3457</v>
      </c>
      <c r="B928" s="23">
        <v>45371</v>
      </c>
      <c r="C928" s="22" t="s">
        <v>3458</v>
      </c>
      <c r="D928" s="22" t="s">
        <v>66</v>
      </c>
      <c r="E928" s="22">
        <v>1</v>
      </c>
      <c r="F928" s="24">
        <v>26.95</v>
      </c>
      <c r="G928" s="22" t="s">
        <v>1889</v>
      </c>
      <c r="H928" s="22" t="s">
        <v>75</v>
      </c>
      <c r="I928" s="22" t="s">
        <v>69</v>
      </c>
      <c r="J928" s="22" t="s">
        <v>3459</v>
      </c>
      <c r="K928" s="22">
        <v>1</v>
      </c>
      <c r="L928" s="22" t="s">
        <v>84</v>
      </c>
      <c r="M928" s="22" t="s">
        <v>86</v>
      </c>
      <c r="N928" s="24">
        <v>26.95</v>
      </c>
      <c r="O928" s="22">
        <f>YEAR(B928)</f>
        <v>2024</v>
      </c>
      <c r="P928" s="25">
        <f>DATE(YEAR(B928),MONTH(B928),1)</f>
        <v>45352</v>
      </c>
      <c r="Q928" s="22" t="str">
        <f>IF(N928&gt;Summary!$C$17,"Outlier","")</f>
        <v/>
      </c>
      <c r="R928" s="22" t="str">
        <f>IF(L928="","None",L928)</f>
        <v>WINTER15</v>
      </c>
    </row>
    <row r="929" spans="1:18" x14ac:dyDescent="0.2">
      <c r="A929" s="22" t="s">
        <v>3460</v>
      </c>
      <c r="B929" s="23">
        <v>44971</v>
      </c>
      <c r="C929" s="22" t="s">
        <v>3461</v>
      </c>
      <c r="D929" s="22" t="s">
        <v>63</v>
      </c>
      <c r="E929" s="22">
        <v>4</v>
      </c>
      <c r="F929" s="24">
        <v>64.69</v>
      </c>
      <c r="G929" s="22" t="s">
        <v>2630</v>
      </c>
      <c r="H929" s="22" t="s">
        <v>77</v>
      </c>
      <c r="I929" s="22" t="s">
        <v>70</v>
      </c>
      <c r="J929" s="22" t="s">
        <v>3462</v>
      </c>
      <c r="K929" s="22">
        <v>7</v>
      </c>
      <c r="L929" s="22" t="s">
        <v>84</v>
      </c>
      <c r="M929" s="22" t="s">
        <v>88</v>
      </c>
      <c r="N929" s="24">
        <v>258.76</v>
      </c>
      <c r="O929" s="22">
        <f>YEAR(B929)</f>
        <v>2023</v>
      </c>
      <c r="P929" s="25">
        <f>DATE(YEAR(B929),MONTH(B929),1)</f>
        <v>44958</v>
      </c>
      <c r="Q929" s="22" t="str">
        <f>IF(N929&gt;Summary!$C$17,"Outlier","")</f>
        <v/>
      </c>
      <c r="R929" s="22" t="str">
        <f>IF(L929="","None",L929)</f>
        <v>WINTER15</v>
      </c>
    </row>
    <row r="930" spans="1:18" x14ac:dyDescent="0.2">
      <c r="A930" s="22" t="s">
        <v>3463</v>
      </c>
      <c r="B930" s="23">
        <v>45421</v>
      </c>
      <c r="C930" s="22" t="s">
        <v>3464</v>
      </c>
      <c r="D930" s="22" t="s">
        <v>63</v>
      </c>
      <c r="E930" s="22">
        <v>3</v>
      </c>
      <c r="F930" s="24">
        <v>247.11</v>
      </c>
      <c r="G930" s="22" t="s">
        <v>1092</v>
      </c>
      <c r="H930" s="22" t="s">
        <v>77</v>
      </c>
      <c r="I930" s="22" t="s">
        <v>72</v>
      </c>
      <c r="J930" s="22" t="s">
        <v>3465</v>
      </c>
      <c r="K930" s="22">
        <v>3</v>
      </c>
      <c r="L930" s="22" t="s">
        <v>84</v>
      </c>
      <c r="M930" s="22" t="s">
        <v>90</v>
      </c>
      <c r="N930" s="24">
        <v>741.33</v>
      </c>
      <c r="O930" s="22">
        <f>YEAR(B930)</f>
        <v>2024</v>
      </c>
      <c r="P930" s="25">
        <f>DATE(YEAR(B930),MONTH(B930),1)</f>
        <v>45413</v>
      </c>
      <c r="Q930" s="22" t="str">
        <f>IF(N930&gt;Summary!$C$17,"Outlier","")</f>
        <v/>
      </c>
      <c r="R930" s="22" t="str">
        <f>IF(L930="","None",L930)</f>
        <v>WINTER15</v>
      </c>
    </row>
    <row r="931" spans="1:18" x14ac:dyDescent="0.2">
      <c r="A931" s="22" t="s">
        <v>3466</v>
      </c>
      <c r="B931" s="23">
        <v>45581</v>
      </c>
      <c r="C931" s="22" t="s">
        <v>3467</v>
      </c>
      <c r="D931" s="22" t="s">
        <v>64</v>
      </c>
      <c r="E931" s="22">
        <v>2</v>
      </c>
      <c r="F931" s="24">
        <v>536.25</v>
      </c>
      <c r="G931" s="22" t="s">
        <v>804</v>
      </c>
      <c r="H931" s="22" t="s">
        <v>77</v>
      </c>
      <c r="I931" s="22" t="s">
        <v>71</v>
      </c>
      <c r="J931" s="22" t="s">
        <v>3468</v>
      </c>
      <c r="K931" s="22">
        <v>3</v>
      </c>
      <c r="L931" s="22"/>
      <c r="M931" s="22" t="s">
        <v>86</v>
      </c>
      <c r="N931" s="24">
        <v>1072.5</v>
      </c>
      <c r="O931" s="22">
        <f>YEAR(B931)</f>
        <v>2024</v>
      </c>
      <c r="P931" s="25">
        <f>DATE(YEAR(B931),MONTH(B931),1)</f>
        <v>45566</v>
      </c>
      <c r="Q931" s="22" t="str">
        <f>IF(N931&gt;Summary!$C$17,"Outlier","")</f>
        <v/>
      </c>
      <c r="R931" s="22" t="str">
        <f>IF(L931="","None",L931)</f>
        <v>None</v>
      </c>
    </row>
    <row r="932" spans="1:18" x14ac:dyDescent="0.2">
      <c r="A932" s="22" t="s">
        <v>3469</v>
      </c>
      <c r="B932" s="23">
        <v>45642</v>
      </c>
      <c r="C932" s="22" t="s">
        <v>3470</v>
      </c>
      <c r="D932" s="22" t="s">
        <v>67</v>
      </c>
      <c r="E932" s="22">
        <v>2</v>
      </c>
      <c r="F932" s="24">
        <v>456.04</v>
      </c>
      <c r="G932" s="22" t="s">
        <v>187</v>
      </c>
      <c r="H932" s="22" t="s">
        <v>77</v>
      </c>
      <c r="I932" s="22" t="s">
        <v>72</v>
      </c>
      <c r="J932" s="22" t="s">
        <v>3471</v>
      </c>
      <c r="K932" s="22">
        <v>4</v>
      </c>
      <c r="L932" s="22" t="s">
        <v>82</v>
      </c>
      <c r="M932" s="22" t="s">
        <v>86</v>
      </c>
      <c r="N932" s="24">
        <v>912.08</v>
      </c>
      <c r="O932" s="22">
        <f>YEAR(B932)</f>
        <v>2024</v>
      </c>
      <c r="P932" s="25">
        <f>DATE(YEAR(B932),MONTH(B932),1)</f>
        <v>45627</v>
      </c>
      <c r="Q932" s="22" t="str">
        <f>IF(N932&gt;Summary!$C$17,"Outlier","")</f>
        <v/>
      </c>
      <c r="R932" s="22" t="str">
        <f>IF(L932="","None",L932)</f>
        <v>FREESHIP</v>
      </c>
    </row>
    <row r="933" spans="1:18" x14ac:dyDescent="0.2">
      <c r="A933" s="22" t="s">
        <v>3472</v>
      </c>
      <c r="B933" s="23">
        <v>45292</v>
      </c>
      <c r="C933" s="22" t="s">
        <v>3473</v>
      </c>
      <c r="D933" s="22" t="s">
        <v>62</v>
      </c>
      <c r="E933" s="22">
        <v>2</v>
      </c>
      <c r="F933" s="24">
        <v>40.229999999999997</v>
      </c>
      <c r="G933" s="22" t="s">
        <v>331</v>
      </c>
      <c r="H933" s="22" t="s">
        <v>76</v>
      </c>
      <c r="I933" s="22" t="s">
        <v>73</v>
      </c>
      <c r="J933" s="22" t="s">
        <v>3474</v>
      </c>
      <c r="K933" s="22">
        <v>4</v>
      </c>
      <c r="L933" s="22" t="s">
        <v>83</v>
      </c>
      <c r="M933" s="22" t="s">
        <v>88</v>
      </c>
      <c r="N933" s="24">
        <v>80.459999999999994</v>
      </c>
      <c r="O933" s="22">
        <f>YEAR(B933)</f>
        <v>2024</v>
      </c>
      <c r="P933" s="25">
        <f>DATE(YEAR(B933),MONTH(B933),1)</f>
        <v>45292</v>
      </c>
      <c r="Q933" s="22" t="str">
        <f>IF(N933&gt;Summary!$C$17,"Outlier","")</f>
        <v/>
      </c>
      <c r="R933" s="22" t="str">
        <f>IF(L933="","None",L933)</f>
        <v>SAVE10</v>
      </c>
    </row>
    <row r="934" spans="1:18" x14ac:dyDescent="0.2">
      <c r="A934" s="22" t="s">
        <v>3475</v>
      </c>
      <c r="B934" s="23">
        <v>45011</v>
      </c>
      <c r="C934" s="22" t="s">
        <v>3476</v>
      </c>
      <c r="D934" s="22" t="s">
        <v>63</v>
      </c>
      <c r="E934" s="22">
        <v>2</v>
      </c>
      <c r="F934" s="24">
        <v>72.39</v>
      </c>
      <c r="G934" s="22" t="s">
        <v>3477</v>
      </c>
      <c r="H934" s="22" t="s">
        <v>79</v>
      </c>
      <c r="I934" s="22" t="s">
        <v>69</v>
      </c>
      <c r="J934" s="22" t="s">
        <v>3478</v>
      </c>
      <c r="K934" s="22">
        <v>7</v>
      </c>
      <c r="L934" s="22" t="s">
        <v>84</v>
      </c>
      <c r="M934" s="22" t="s">
        <v>89</v>
      </c>
      <c r="N934" s="24">
        <v>144.78</v>
      </c>
      <c r="O934" s="22">
        <f>YEAR(B934)</f>
        <v>2023</v>
      </c>
      <c r="P934" s="25">
        <f>DATE(YEAR(B934),MONTH(B934),1)</f>
        <v>44986</v>
      </c>
      <c r="Q934" s="22" t="str">
        <f>IF(N934&gt;Summary!$C$17,"Outlier","")</f>
        <v/>
      </c>
      <c r="R934" s="22" t="str">
        <f>IF(L934="","None",L934)</f>
        <v>WINTER15</v>
      </c>
    </row>
    <row r="935" spans="1:18" x14ac:dyDescent="0.2">
      <c r="A935" s="22" t="s">
        <v>3479</v>
      </c>
      <c r="B935" s="23">
        <v>44952</v>
      </c>
      <c r="C935" s="22" t="s">
        <v>3480</v>
      </c>
      <c r="D935" s="22" t="s">
        <v>65</v>
      </c>
      <c r="E935" s="22">
        <v>2</v>
      </c>
      <c r="F935" s="24">
        <v>394.16</v>
      </c>
      <c r="G935" s="22" t="s">
        <v>1045</v>
      </c>
      <c r="H935" s="22" t="s">
        <v>79</v>
      </c>
      <c r="I935" s="22" t="s">
        <v>70</v>
      </c>
      <c r="J935" s="22" t="s">
        <v>3481</v>
      </c>
      <c r="K935" s="22">
        <v>2</v>
      </c>
      <c r="L935" s="22"/>
      <c r="M935" s="22" t="s">
        <v>90</v>
      </c>
      <c r="N935" s="24">
        <v>788.32</v>
      </c>
      <c r="O935" s="22">
        <f>YEAR(B935)</f>
        <v>2023</v>
      </c>
      <c r="P935" s="25">
        <f>DATE(YEAR(B935),MONTH(B935),1)</f>
        <v>44927</v>
      </c>
      <c r="Q935" s="22" t="str">
        <f>IF(N935&gt;Summary!$C$17,"Outlier","")</f>
        <v/>
      </c>
      <c r="R935" s="22" t="str">
        <f>IF(L935="","None",L935)</f>
        <v>None</v>
      </c>
    </row>
    <row r="936" spans="1:18" x14ac:dyDescent="0.2">
      <c r="A936" s="22" t="s">
        <v>3482</v>
      </c>
      <c r="B936" s="23">
        <v>45809</v>
      </c>
      <c r="C936" s="22" t="s">
        <v>3483</v>
      </c>
      <c r="D936" s="22" t="s">
        <v>63</v>
      </c>
      <c r="E936" s="22">
        <v>4</v>
      </c>
      <c r="F936" s="24">
        <v>119.84</v>
      </c>
      <c r="G936" s="22" t="s">
        <v>987</v>
      </c>
      <c r="H936" s="22" t="s">
        <v>78</v>
      </c>
      <c r="I936" s="22" t="s">
        <v>70</v>
      </c>
      <c r="J936" s="22" t="s">
        <v>3484</v>
      </c>
      <c r="K936" s="22">
        <v>8</v>
      </c>
      <c r="L936" s="22" t="s">
        <v>82</v>
      </c>
      <c r="M936" s="22" t="s">
        <v>90</v>
      </c>
      <c r="N936" s="24">
        <v>479.36</v>
      </c>
      <c r="O936" s="22">
        <f>YEAR(B936)</f>
        <v>2025</v>
      </c>
      <c r="P936" s="25">
        <f>DATE(YEAR(B936),MONTH(B936),1)</f>
        <v>45809</v>
      </c>
      <c r="Q936" s="22" t="str">
        <f>IF(N936&gt;Summary!$C$17,"Outlier","")</f>
        <v/>
      </c>
      <c r="R936" s="22" t="str">
        <f>IF(L936="","None",L936)</f>
        <v>FREESHIP</v>
      </c>
    </row>
    <row r="937" spans="1:18" x14ac:dyDescent="0.2">
      <c r="A937" s="22" t="s">
        <v>3485</v>
      </c>
      <c r="B937" s="23">
        <v>45254</v>
      </c>
      <c r="C937" s="22" t="s">
        <v>3486</v>
      </c>
      <c r="D937" s="22" t="s">
        <v>67</v>
      </c>
      <c r="E937" s="22">
        <v>3</v>
      </c>
      <c r="F937" s="24">
        <v>692.71</v>
      </c>
      <c r="G937" s="22" t="s">
        <v>1415</v>
      </c>
      <c r="H937" s="22" t="s">
        <v>76</v>
      </c>
      <c r="I937" s="22" t="s">
        <v>69</v>
      </c>
      <c r="J937" s="22" t="s">
        <v>3487</v>
      </c>
      <c r="K937" s="22">
        <v>3</v>
      </c>
      <c r="L937" s="22" t="s">
        <v>82</v>
      </c>
      <c r="M937" s="22" t="s">
        <v>89</v>
      </c>
      <c r="N937" s="24">
        <v>2078.13</v>
      </c>
      <c r="O937" s="22">
        <f>YEAR(B937)</f>
        <v>2023</v>
      </c>
      <c r="P937" s="25">
        <f>DATE(YEAR(B937),MONTH(B937),1)</f>
        <v>45231</v>
      </c>
      <c r="Q937" s="22" t="str">
        <f>IF(N937&gt;Summary!$C$17,"Outlier","")</f>
        <v/>
      </c>
      <c r="R937" s="22" t="str">
        <f>IF(L937="","None",L937)</f>
        <v>FREESHIP</v>
      </c>
    </row>
    <row r="938" spans="1:18" x14ac:dyDescent="0.2">
      <c r="A938" s="22" t="s">
        <v>3488</v>
      </c>
      <c r="B938" s="23">
        <v>45303</v>
      </c>
      <c r="C938" s="22" t="s">
        <v>3489</v>
      </c>
      <c r="D938" s="22" t="s">
        <v>61</v>
      </c>
      <c r="E938" s="22">
        <v>4</v>
      </c>
      <c r="F938" s="24">
        <v>56.66</v>
      </c>
      <c r="G938" s="22" t="s">
        <v>736</v>
      </c>
      <c r="H938" s="22" t="s">
        <v>79</v>
      </c>
      <c r="I938" s="22" t="s">
        <v>69</v>
      </c>
      <c r="J938" s="22" t="s">
        <v>3490</v>
      </c>
      <c r="K938" s="22">
        <v>4</v>
      </c>
      <c r="L938" s="22" t="s">
        <v>83</v>
      </c>
      <c r="M938" s="22" t="s">
        <v>89</v>
      </c>
      <c r="N938" s="24">
        <v>226.64</v>
      </c>
      <c r="O938" s="22">
        <f>YEAR(B938)</f>
        <v>2024</v>
      </c>
      <c r="P938" s="25">
        <f>DATE(YEAR(B938),MONTH(B938),1)</f>
        <v>45292</v>
      </c>
      <c r="Q938" s="22" t="str">
        <f>IF(N938&gt;Summary!$C$17,"Outlier","")</f>
        <v/>
      </c>
      <c r="R938" s="22" t="str">
        <f>IF(L938="","None",L938)</f>
        <v>SAVE10</v>
      </c>
    </row>
    <row r="939" spans="1:18" x14ac:dyDescent="0.2">
      <c r="A939" s="22" t="s">
        <v>3491</v>
      </c>
      <c r="B939" s="23">
        <v>45307</v>
      </c>
      <c r="C939" s="22" t="s">
        <v>3492</v>
      </c>
      <c r="D939" s="22" t="s">
        <v>61</v>
      </c>
      <c r="E939" s="22">
        <v>2</v>
      </c>
      <c r="F939" s="24">
        <v>298.52999999999997</v>
      </c>
      <c r="G939" s="22" t="s">
        <v>1665</v>
      </c>
      <c r="H939" s="22" t="s">
        <v>77</v>
      </c>
      <c r="I939" s="22" t="s">
        <v>73</v>
      </c>
      <c r="J939" s="22" t="s">
        <v>3493</v>
      </c>
      <c r="K939" s="22">
        <v>5</v>
      </c>
      <c r="L939" s="22" t="s">
        <v>84</v>
      </c>
      <c r="M939" s="22" t="s">
        <v>86</v>
      </c>
      <c r="N939" s="24">
        <v>597.05999999999995</v>
      </c>
      <c r="O939" s="22">
        <f>YEAR(B939)</f>
        <v>2024</v>
      </c>
      <c r="P939" s="25">
        <f>DATE(YEAR(B939),MONTH(B939),1)</f>
        <v>45292</v>
      </c>
      <c r="Q939" s="22" t="str">
        <f>IF(N939&gt;Summary!$C$17,"Outlier","")</f>
        <v/>
      </c>
      <c r="R939" s="22" t="str">
        <f>IF(L939="","None",L939)</f>
        <v>WINTER15</v>
      </c>
    </row>
    <row r="940" spans="1:18" x14ac:dyDescent="0.2">
      <c r="A940" s="22" t="s">
        <v>3494</v>
      </c>
      <c r="B940" s="23">
        <v>45119</v>
      </c>
      <c r="C940" s="22" t="s">
        <v>3495</v>
      </c>
      <c r="D940" s="22" t="s">
        <v>61</v>
      </c>
      <c r="E940" s="22">
        <v>3</v>
      </c>
      <c r="F940" s="24">
        <v>331.46</v>
      </c>
      <c r="G940" s="22" t="s">
        <v>2019</v>
      </c>
      <c r="H940" s="22" t="s">
        <v>76</v>
      </c>
      <c r="I940" s="22" t="s">
        <v>73</v>
      </c>
      <c r="J940" s="22" t="s">
        <v>3496</v>
      </c>
      <c r="K940" s="22">
        <v>6</v>
      </c>
      <c r="L940" s="22" t="s">
        <v>84</v>
      </c>
      <c r="M940" s="22" t="s">
        <v>90</v>
      </c>
      <c r="N940" s="24">
        <v>994.38</v>
      </c>
      <c r="O940" s="22">
        <f>YEAR(B940)</f>
        <v>2023</v>
      </c>
      <c r="P940" s="25">
        <f>DATE(YEAR(B940),MONTH(B940),1)</f>
        <v>45108</v>
      </c>
      <c r="Q940" s="22" t="str">
        <f>IF(N940&gt;Summary!$C$17,"Outlier","")</f>
        <v/>
      </c>
      <c r="R940" s="22" t="str">
        <f>IF(L940="","None",L940)</f>
        <v>WINTER15</v>
      </c>
    </row>
    <row r="941" spans="1:18" x14ac:dyDescent="0.2">
      <c r="A941" s="22" t="s">
        <v>3497</v>
      </c>
      <c r="B941" s="23">
        <v>45763</v>
      </c>
      <c r="C941" s="22" t="s">
        <v>3498</v>
      </c>
      <c r="D941" s="22" t="s">
        <v>63</v>
      </c>
      <c r="E941" s="22">
        <v>2</v>
      </c>
      <c r="F941" s="24">
        <v>521.4</v>
      </c>
      <c r="G941" s="22" t="s">
        <v>3499</v>
      </c>
      <c r="H941" s="22" t="s">
        <v>75</v>
      </c>
      <c r="I941" s="22" t="s">
        <v>69</v>
      </c>
      <c r="J941" s="22" t="s">
        <v>3500</v>
      </c>
      <c r="K941" s="22">
        <v>7</v>
      </c>
      <c r="L941" s="22" t="s">
        <v>83</v>
      </c>
      <c r="M941" s="22" t="s">
        <v>89</v>
      </c>
      <c r="N941" s="24">
        <v>1042.8</v>
      </c>
      <c r="O941" s="22">
        <f>YEAR(B941)</f>
        <v>2025</v>
      </c>
      <c r="P941" s="25">
        <f>DATE(YEAR(B941),MONTH(B941),1)</f>
        <v>45748</v>
      </c>
      <c r="Q941" s="22" t="str">
        <f>IF(N941&gt;Summary!$C$17,"Outlier","")</f>
        <v/>
      </c>
      <c r="R941" s="22" t="str">
        <f>IF(L941="","None",L941)</f>
        <v>SAVE10</v>
      </c>
    </row>
    <row r="942" spans="1:18" x14ac:dyDescent="0.2">
      <c r="A942" s="22" t="s">
        <v>3501</v>
      </c>
      <c r="B942" s="23">
        <v>45012</v>
      </c>
      <c r="C942" s="22" t="s">
        <v>3502</v>
      </c>
      <c r="D942" s="22" t="s">
        <v>62</v>
      </c>
      <c r="E942" s="22">
        <v>4</v>
      </c>
      <c r="F942" s="24">
        <v>305.32</v>
      </c>
      <c r="G942" s="22" t="s">
        <v>3503</v>
      </c>
      <c r="H942" s="22" t="s">
        <v>79</v>
      </c>
      <c r="I942" s="22" t="s">
        <v>73</v>
      </c>
      <c r="J942" s="22" t="s">
        <v>3504</v>
      </c>
      <c r="K942" s="22">
        <v>4</v>
      </c>
      <c r="L942" s="22" t="s">
        <v>83</v>
      </c>
      <c r="M942" s="22" t="s">
        <v>88</v>
      </c>
      <c r="N942" s="24">
        <v>1221.28</v>
      </c>
      <c r="O942" s="22">
        <f>YEAR(B942)</f>
        <v>2023</v>
      </c>
      <c r="P942" s="25">
        <f>DATE(YEAR(B942),MONTH(B942),1)</f>
        <v>44986</v>
      </c>
      <c r="Q942" s="22" t="str">
        <f>IF(N942&gt;Summary!$C$17,"Outlier","")</f>
        <v/>
      </c>
      <c r="R942" s="22" t="str">
        <f>IF(L942="","None",L942)</f>
        <v>SAVE10</v>
      </c>
    </row>
    <row r="943" spans="1:18" x14ac:dyDescent="0.2">
      <c r="A943" s="22" t="s">
        <v>3505</v>
      </c>
      <c r="B943" s="23">
        <v>45124</v>
      </c>
      <c r="C943" s="22" t="s">
        <v>1775</v>
      </c>
      <c r="D943" s="22" t="s">
        <v>62</v>
      </c>
      <c r="E943" s="22">
        <v>5</v>
      </c>
      <c r="F943" s="24">
        <v>111.7</v>
      </c>
      <c r="G943" s="22" t="s">
        <v>1407</v>
      </c>
      <c r="H943" s="22" t="s">
        <v>76</v>
      </c>
      <c r="I943" s="22" t="s">
        <v>73</v>
      </c>
      <c r="J943" s="22" t="s">
        <v>3506</v>
      </c>
      <c r="K943" s="22">
        <v>9</v>
      </c>
      <c r="L943" s="22" t="s">
        <v>82</v>
      </c>
      <c r="M943" s="22" t="s">
        <v>86</v>
      </c>
      <c r="N943" s="24">
        <v>558.5</v>
      </c>
      <c r="O943" s="22">
        <f>YEAR(B943)</f>
        <v>2023</v>
      </c>
      <c r="P943" s="25">
        <f>DATE(YEAR(B943),MONTH(B943),1)</f>
        <v>45108</v>
      </c>
      <c r="Q943" s="22" t="str">
        <f>IF(N943&gt;Summary!$C$17,"Outlier","")</f>
        <v/>
      </c>
      <c r="R943" s="22" t="str">
        <f>IF(L943="","None",L943)</f>
        <v>FREESHIP</v>
      </c>
    </row>
    <row r="944" spans="1:18" x14ac:dyDescent="0.2">
      <c r="A944" s="22" t="s">
        <v>3507</v>
      </c>
      <c r="B944" s="23">
        <v>45198</v>
      </c>
      <c r="C944" s="22" t="s">
        <v>3508</v>
      </c>
      <c r="D944" s="22" t="s">
        <v>64</v>
      </c>
      <c r="E944" s="22">
        <v>1</v>
      </c>
      <c r="F944" s="24">
        <v>479.76</v>
      </c>
      <c r="G944" s="22" t="s">
        <v>961</v>
      </c>
      <c r="H944" s="22" t="s">
        <v>76</v>
      </c>
      <c r="I944" s="22" t="s">
        <v>71</v>
      </c>
      <c r="J944" s="22" t="s">
        <v>3509</v>
      </c>
      <c r="K944" s="22">
        <v>1</v>
      </c>
      <c r="L944" s="22"/>
      <c r="M944" s="22" t="s">
        <v>86</v>
      </c>
      <c r="N944" s="24">
        <v>479.76</v>
      </c>
      <c r="O944" s="22">
        <f>YEAR(B944)</f>
        <v>2023</v>
      </c>
      <c r="P944" s="25">
        <f>DATE(YEAR(B944),MONTH(B944),1)</f>
        <v>45170</v>
      </c>
      <c r="Q944" s="22" t="str">
        <f>IF(N944&gt;Summary!$C$17,"Outlier","")</f>
        <v/>
      </c>
      <c r="R944" s="22" t="str">
        <f>IF(L944="","None",L944)</f>
        <v>None</v>
      </c>
    </row>
    <row r="945" spans="1:18" x14ac:dyDescent="0.2">
      <c r="A945" s="22" t="s">
        <v>3510</v>
      </c>
      <c r="B945" s="23">
        <v>45287</v>
      </c>
      <c r="C945" s="22" t="s">
        <v>3511</v>
      </c>
      <c r="D945" s="22" t="s">
        <v>65</v>
      </c>
      <c r="E945" s="22">
        <v>3</v>
      </c>
      <c r="F945" s="24">
        <v>193.49</v>
      </c>
      <c r="G945" s="22" t="s">
        <v>3512</v>
      </c>
      <c r="H945" s="22" t="s">
        <v>78</v>
      </c>
      <c r="I945" s="22" t="s">
        <v>72</v>
      </c>
      <c r="J945" s="22" t="s">
        <v>3513</v>
      </c>
      <c r="K945" s="22">
        <v>6</v>
      </c>
      <c r="L945" s="22" t="s">
        <v>82</v>
      </c>
      <c r="M945" s="22" t="s">
        <v>87</v>
      </c>
      <c r="N945" s="24">
        <v>580.47</v>
      </c>
      <c r="O945" s="22">
        <f>YEAR(B945)</f>
        <v>2023</v>
      </c>
      <c r="P945" s="25">
        <f>DATE(YEAR(B945),MONTH(B945),1)</f>
        <v>45261</v>
      </c>
      <c r="Q945" s="22" t="str">
        <f>IF(N945&gt;Summary!$C$17,"Outlier","")</f>
        <v/>
      </c>
      <c r="R945" s="22" t="str">
        <f>IF(L945="","None",L945)</f>
        <v>FREESHIP</v>
      </c>
    </row>
    <row r="946" spans="1:18" x14ac:dyDescent="0.2">
      <c r="A946" s="22" t="s">
        <v>3514</v>
      </c>
      <c r="B946" s="23">
        <v>45642</v>
      </c>
      <c r="C946" s="22" t="s">
        <v>3515</v>
      </c>
      <c r="D946" s="22" t="s">
        <v>63</v>
      </c>
      <c r="E946" s="22">
        <v>2</v>
      </c>
      <c r="F946" s="24">
        <v>426.22</v>
      </c>
      <c r="G946" s="22" t="s">
        <v>3282</v>
      </c>
      <c r="H946" s="22" t="s">
        <v>79</v>
      </c>
      <c r="I946" s="22" t="s">
        <v>69</v>
      </c>
      <c r="J946" s="22" t="s">
        <v>3516</v>
      </c>
      <c r="K946" s="22">
        <v>7</v>
      </c>
      <c r="L946" s="22" t="s">
        <v>84</v>
      </c>
      <c r="M946" s="22" t="s">
        <v>88</v>
      </c>
      <c r="N946" s="24">
        <v>852.44</v>
      </c>
      <c r="O946" s="22">
        <f>YEAR(B946)</f>
        <v>2024</v>
      </c>
      <c r="P946" s="25">
        <f>DATE(YEAR(B946),MONTH(B946),1)</f>
        <v>45627</v>
      </c>
      <c r="Q946" s="22" t="str">
        <f>IF(N946&gt;Summary!$C$17,"Outlier","")</f>
        <v/>
      </c>
      <c r="R946" s="22" t="str">
        <f>IF(L946="","None",L946)</f>
        <v>WINTER15</v>
      </c>
    </row>
    <row r="947" spans="1:18" x14ac:dyDescent="0.2">
      <c r="A947" s="22" t="s">
        <v>3517</v>
      </c>
      <c r="B947" s="23">
        <v>45158</v>
      </c>
      <c r="C947" s="22" t="s">
        <v>3518</v>
      </c>
      <c r="D947" s="22" t="s">
        <v>64</v>
      </c>
      <c r="E947" s="22">
        <v>5</v>
      </c>
      <c r="F947" s="24">
        <v>276.44</v>
      </c>
      <c r="G947" s="22" t="s">
        <v>1427</v>
      </c>
      <c r="H947" s="22" t="s">
        <v>78</v>
      </c>
      <c r="I947" s="22" t="s">
        <v>70</v>
      </c>
      <c r="J947" s="22" t="s">
        <v>3519</v>
      </c>
      <c r="K947" s="22">
        <v>10</v>
      </c>
      <c r="L947" s="22" t="s">
        <v>82</v>
      </c>
      <c r="M947" s="22" t="s">
        <v>90</v>
      </c>
      <c r="N947" s="24">
        <v>1382.2</v>
      </c>
      <c r="O947" s="22">
        <f>YEAR(B947)</f>
        <v>2023</v>
      </c>
      <c r="P947" s="25">
        <f>DATE(YEAR(B947),MONTH(B947),1)</f>
        <v>45139</v>
      </c>
      <c r="Q947" s="22" t="str">
        <f>IF(N947&gt;Summary!$C$17,"Outlier","")</f>
        <v/>
      </c>
      <c r="R947" s="22" t="str">
        <f>IF(L947="","None",L947)</f>
        <v>FREESHIP</v>
      </c>
    </row>
    <row r="948" spans="1:18" x14ac:dyDescent="0.2">
      <c r="A948" s="22" t="s">
        <v>3520</v>
      </c>
      <c r="B948" s="23">
        <v>45416</v>
      </c>
      <c r="C948" s="22" t="s">
        <v>3521</v>
      </c>
      <c r="D948" s="22" t="s">
        <v>67</v>
      </c>
      <c r="E948" s="22">
        <v>2</v>
      </c>
      <c r="F948" s="24">
        <v>404.96</v>
      </c>
      <c r="G948" s="22" t="s">
        <v>1374</v>
      </c>
      <c r="H948" s="22" t="s">
        <v>75</v>
      </c>
      <c r="I948" s="22" t="s">
        <v>70</v>
      </c>
      <c r="J948" s="22" t="s">
        <v>3522</v>
      </c>
      <c r="K948" s="22">
        <v>4</v>
      </c>
      <c r="L948" s="22" t="s">
        <v>83</v>
      </c>
      <c r="M948" s="22" t="s">
        <v>86</v>
      </c>
      <c r="N948" s="24">
        <v>809.92</v>
      </c>
      <c r="O948" s="22">
        <f>YEAR(B948)</f>
        <v>2024</v>
      </c>
      <c r="P948" s="25">
        <f>DATE(YEAR(B948),MONTH(B948),1)</f>
        <v>45413</v>
      </c>
      <c r="Q948" s="22" t="str">
        <f>IF(N948&gt;Summary!$C$17,"Outlier","")</f>
        <v/>
      </c>
      <c r="R948" s="22" t="str">
        <f>IF(L948="","None",L948)</f>
        <v>SAVE10</v>
      </c>
    </row>
    <row r="949" spans="1:18" x14ac:dyDescent="0.2">
      <c r="A949" s="22" t="s">
        <v>3523</v>
      </c>
      <c r="B949" s="23">
        <v>45176</v>
      </c>
      <c r="C949" s="22" t="s">
        <v>3524</v>
      </c>
      <c r="D949" s="22" t="s">
        <v>67</v>
      </c>
      <c r="E949" s="22">
        <v>4</v>
      </c>
      <c r="F949" s="24">
        <v>465.66</v>
      </c>
      <c r="G949" s="22" t="s">
        <v>1166</v>
      </c>
      <c r="H949" s="22" t="s">
        <v>79</v>
      </c>
      <c r="I949" s="22" t="s">
        <v>72</v>
      </c>
      <c r="J949" s="22" t="s">
        <v>3525</v>
      </c>
      <c r="K949" s="22">
        <v>9</v>
      </c>
      <c r="L949" s="22" t="s">
        <v>82</v>
      </c>
      <c r="M949" s="22" t="s">
        <v>86</v>
      </c>
      <c r="N949" s="24">
        <v>1862.64</v>
      </c>
      <c r="O949" s="22">
        <f>YEAR(B949)</f>
        <v>2023</v>
      </c>
      <c r="P949" s="25">
        <f>DATE(YEAR(B949),MONTH(B949),1)</f>
        <v>45170</v>
      </c>
      <c r="Q949" s="22" t="str">
        <f>IF(N949&gt;Summary!$C$17,"Outlier","")</f>
        <v/>
      </c>
      <c r="R949" s="22" t="str">
        <f>IF(L949="","None",L949)</f>
        <v>FREESHIP</v>
      </c>
    </row>
    <row r="950" spans="1:18" x14ac:dyDescent="0.2">
      <c r="A950" s="22" t="s">
        <v>3526</v>
      </c>
      <c r="B950" s="23">
        <v>45464</v>
      </c>
      <c r="C950" s="22" t="s">
        <v>1797</v>
      </c>
      <c r="D950" s="22" t="s">
        <v>67</v>
      </c>
      <c r="E950" s="22">
        <v>2</v>
      </c>
      <c r="F950" s="24">
        <v>594.07000000000005</v>
      </c>
      <c r="G950" s="22" t="s">
        <v>1869</v>
      </c>
      <c r="H950" s="22" t="s">
        <v>78</v>
      </c>
      <c r="I950" s="22" t="s">
        <v>73</v>
      </c>
      <c r="J950" s="22" t="s">
        <v>3527</v>
      </c>
      <c r="K950" s="22">
        <v>2</v>
      </c>
      <c r="L950" s="22"/>
      <c r="M950" s="22" t="s">
        <v>88</v>
      </c>
      <c r="N950" s="24">
        <v>1188.1400000000001</v>
      </c>
      <c r="O950" s="22">
        <f>YEAR(B950)</f>
        <v>2024</v>
      </c>
      <c r="P950" s="25">
        <f>DATE(YEAR(B950),MONTH(B950),1)</f>
        <v>45444</v>
      </c>
      <c r="Q950" s="22" t="str">
        <f>IF(N950&gt;Summary!$C$17,"Outlier","")</f>
        <v/>
      </c>
      <c r="R950" s="22" t="str">
        <f>IF(L950="","None",L950)</f>
        <v>None</v>
      </c>
    </row>
    <row r="951" spans="1:18" x14ac:dyDescent="0.2">
      <c r="A951" s="22" t="s">
        <v>3528</v>
      </c>
      <c r="B951" s="23">
        <v>45239</v>
      </c>
      <c r="C951" s="22" t="s">
        <v>3529</v>
      </c>
      <c r="D951" s="22" t="s">
        <v>66</v>
      </c>
      <c r="E951" s="22">
        <v>5</v>
      </c>
      <c r="F951" s="24">
        <v>110.38</v>
      </c>
      <c r="G951" s="22" t="s">
        <v>1635</v>
      </c>
      <c r="H951" s="22" t="s">
        <v>75</v>
      </c>
      <c r="I951" s="22" t="s">
        <v>71</v>
      </c>
      <c r="J951" s="22" t="s">
        <v>3530</v>
      </c>
      <c r="K951" s="22">
        <v>10</v>
      </c>
      <c r="L951" s="22"/>
      <c r="M951" s="22" t="s">
        <v>90</v>
      </c>
      <c r="N951" s="24">
        <v>551.9</v>
      </c>
      <c r="O951" s="22">
        <f>YEAR(B951)</f>
        <v>2023</v>
      </c>
      <c r="P951" s="25">
        <f>DATE(YEAR(B951),MONTH(B951),1)</f>
        <v>45231</v>
      </c>
      <c r="Q951" s="22" t="str">
        <f>IF(N951&gt;Summary!$C$17,"Outlier","")</f>
        <v/>
      </c>
      <c r="R951" s="22" t="str">
        <f>IF(L951="","None",L951)</f>
        <v>None</v>
      </c>
    </row>
    <row r="952" spans="1:18" x14ac:dyDescent="0.2">
      <c r="A952" s="22" t="s">
        <v>3531</v>
      </c>
      <c r="B952" s="23">
        <v>45443</v>
      </c>
      <c r="C952" s="22" t="s">
        <v>3532</v>
      </c>
      <c r="D952" s="22" t="s">
        <v>63</v>
      </c>
      <c r="E952" s="22">
        <v>1</v>
      </c>
      <c r="F952" s="24">
        <v>596.24</v>
      </c>
      <c r="G952" s="22" t="s">
        <v>191</v>
      </c>
      <c r="H952" s="22" t="s">
        <v>76</v>
      </c>
      <c r="I952" s="22" t="s">
        <v>72</v>
      </c>
      <c r="J952" s="22" t="s">
        <v>3533</v>
      </c>
      <c r="K952" s="22">
        <v>4</v>
      </c>
      <c r="L952" s="22" t="s">
        <v>82</v>
      </c>
      <c r="M952" s="22" t="s">
        <v>89</v>
      </c>
      <c r="N952" s="24">
        <v>596.24</v>
      </c>
      <c r="O952" s="22">
        <f>YEAR(B952)</f>
        <v>2024</v>
      </c>
      <c r="P952" s="25">
        <f>DATE(YEAR(B952),MONTH(B952),1)</f>
        <v>45413</v>
      </c>
      <c r="Q952" s="22" t="str">
        <f>IF(N952&gt;Summary!$C$17,"Outlier","")</f>
        <v/>
      </c>
      <c r="R952" s="22" t="str">
        <f>IF(L952="","None",L952)</f>
        <v>FREESHIP</v>
      </c>
    </row>
    <row r="953" spans="1:18" x14ac:dyDescent="0.2">
      <c r="A953" s="22" t="s">
        <v>3534</v>
      </c>
      <c r="B953" s="23">
        <v>45495</v>
      </c>
      <c r="C953" s="22" t="s">
        <v>3535</v>
      </c>
      <c r="D953" s="22" t="s">
        <v>62</v>
      </c>
      <c r="E953" s="22">
        <v>2</v>
      </c>
      <c r="F953" s="24">
        <v>306.24</v>
      </c>
      <c r="G953" s="22" t="s">
        <v>1143</v>
      </c>
      <c r="H953" s="22" t="s">
        <v>79</v>
      </c>
      <c r="I953" s="22" t="s">
        <v>72</v>
      </c>
      <c r="J953" s="22" t="s">
        <v>3536</v>
      </c>
      <c r="K953" s="22">
        <v>4</v>
      </c>
      <c r="L953" s="22" t="s">
        <v>82</v>
      </c>
      <c r="M953" s="22" t="s">
        <v>86</v>
      </c>
      <c r="N953" s="24">
        <v>612.48</v>
      </c>
      <c r="O953" s="22">
        <f>YEAR(B953)</f>
        <v>2024</v>
      </c>
      <c r="P953" s="25">
        <f>DATE(YEAR(B953),MONTH(B953),1)</f>
        <v>45474</v>
      </c>
      <c r="Q953" s="22" t="str">
        <f>IF(N953&gt;Summary!$C$17,"Outlier","")</f>
        <v/>
      </c>
      <c r="R953" s="22" t="str">
        <f>IF(L953="","None",L953)</f>
        <v>FREESHIP</v>
      </c>
    </row>
    <row r="954" spans="1:18" x14ac:dyDescent="0.2">
      <c r="A954" s="22" t="s">
        <v>3537</v>
      </c>
      <c r="B954" s="23">
        <v>45715</v>
      </c>
      <c r="C954" s="22" t="s">
        <v>3538</v>
      </c>
      <c r="D954" s="22" t="s">
        <v>65</v>
      </c>
      <c r="E954" s="22">
        <v>3</v>
      </c>
      <c r="F954" s="24">
        <v>503.39</v>
      </c>
      <c r="G954" s="22" t="s">
        <v>3539</v>
      </c>
      <c r="H954" s="22" t="s">
        <v>79</v>
      </c>
      <c r="I954" s="22" t="s">
        <v>71</v>
      </c>
      <c r="J954" s="22" t="s">
        <v>3540</v>
      </c>
      <c r="K954" s="22">
        <v>5</v>
      </c>
      <c r="L954" s="22"/>
      <c r="M954" s="22" t="s">
        <v>87</v>
      </c>
      <c r="N954" s="24">
        <v>1510.17</v>
      </c>
      <c r="O954" s="22">
        <f>YEAR(B954)</f>
        <v>2025</v>
      </c>
      <c r="P954" s="25">
        <f>DATE(YEAR(B954),MONTH(B954),1)</f>
        <v>45689</v>
      </c>
      <c r="Q954" s="22" t="str">
        <f>IF(N954&gt;Summary!$C$17,"Outlier","")</f>
        <v/>
      </c>
      <c r="R954" s="22" t="str">
        <f>IF(L954="","None",L954)</f>
        <v>None</v>
      </c>
    </row>
    <row r="955" spans="1:18" x14ac:dyDescent="0.2">
      <c r="A955" s="22" t="s">
        <v>3541</v>
      </c>
      <c r="B955" s="23">
        <v>44963</v>
      </c>
      <c r="C955" s="22" t="s">
        <v>3542</v>
      </c>
      <c r="D955" s="22" t="s">
        <v>67</v>
      </c>
      <c r="E955" s="22">
        <v>1</v>
      </c>
      <c r="F955" s="24">
        <v>131.61000000000001</v>
      </c>
      <c r="G955" s="22" t="s">
        <v>441</v>
      </c>
      <c r="H955" s="22" t="s">
        <v>75</v>
      </c>
      <c r="I955" s="22" t="s">
        <v>70</v>
      </c>
      <c r="J955" s="22" t="s">
        <v>3543</v>
      </c>
      <c r="K955" s="22">
        <v>2</v>
      </c>
      <c r="L955" s="22" t="s">
        <v>82</v>
      </c>
      <c r="M955" s="22" t="s">
        <v>87</v>
      </c>
      <c r="N955" s="24">
        <v>131.61000000000001</v>
      </c>
      <c r="O955" s="22">
        <f>YEAR(B955)</f>
        <v>2023</v>
      </c>
      <c r="P955" s="25">
        <f>DATE(YEAR(B955),MONTH(B955),1)</f>
        <v>44958</v>
      </c>
      <c r="Q955" s="22" t="str">
        <f>IF(N955&gt;Summary!$C$17,"Outlier","")</f>
        <v/>
      </c>
      <c r="R955" s="22" t="str">
        <f>IF(L955="","None",L955)</f>
        <v>FREESHIP</v>
      </c>
    </row>
    <row r="956" spans="1:18" x14ac:dyDescent="0.2">
      <c r="A956" s="22" t="s">
        <v>3544</v>
      </c>
      <c r="B956" s="23">
        <v>45587</v>
      </c>
      <c r="C956" s="22" t="s">
        <v>3545</v>
      </c>
      <c r="D956" s="22" t="s">
        <v>61</v>
      </c>
      <c r="E956" s="22">
        <v>3</v>
      </c>
      <c r="F956" s="24">
        <v>443.44</v>
      </c>
      <c r="G956" s="22" t="s">
        <v>744</v>
      </c>
      <c r="H956" s="22" t="s">
        <v>78</v>
      </c>
      <c r="I956" s="22" t="s">
        <v>70</v>
      </c>
      <c r="J956" s="22" t="s">
        <v>3546</v>
      </c>
      <c r="K956" s="22">
        <v>3</v>
      </c>
      <c r="L956" s="22" t="s">
        <v>82</v>
      </c>
      <c r="M956" s="22" t="s">
        <v>88</v>
      </c>
      <c r="N956" s="24">
        <v>1330.32</v>
      </c>
      <c r="O956" s="22">
        <f>YEAR(B956)</f>
        <v>2024</v>
      </c>
      <c r="P956" s="25">
        <f>DATE(YEAR(B956),MONTH(B956),1)</f>
        <v>45566</v>
      </c>
      <c r="Q956" s="22" t="str">
        <f>IF(N956&gt;Summary!$C$17,"Outlier","")</f>
        <v/>
      </c>
      <c r="R956" s="22" t="str">
        <f>IF(L956="","None",L956)</f>
        <v>FREESHIP</v>
      </c>
    </row>
    <row r="957" spans="1:18" x14ac:dyDescent="0.2">
      <c r="A957" s="22" t="s">
        <v>3547</v>
      </c>
      <c r="B957" s="23">
        <v>44949</v>
      </c>
      <c r="C957" s="22" t="s">
        <v>3548</v>
      </c>
      <c r="D957" s="22" t="s">
        <v>61</v>
      </c>
      <c r="E957" s="22">
        <v>1</v>
      </c>
      <c r="F957" s="24">
        <v>408.13</v>
      </c>
      <c r="G957" s="22" t="s">
        <v>1069</v>
      </c>
      <c r="H957" s="22" t="s">
        <v>78</v>
      </c>
      <c r="I957" s="22" t="s">
        <v>70</v>
      </c>
      <c r="J957" s="22" t="s">
        <v>3549</v>
      </c>
      <c r="K957" s="22">
        <v>3</v>
      </c>
      <c r="L957" s="22" t="s">
        <v>84</v>
      </c>
      <c r="M957" s="22" t="s">
        <v>89</v>
      </c>
      <c r="N957" s="24">
        <v>408.13</v>
      </c>
      <c r="O957" s="22">
        <f>YEAR(B957)</f>
        <v>2023</v>
      </c>
      <c r="P957" s="25">
        <f>DATE(YEAR(B957),MONTH(B957),1)</f>
        <v>44927</v>
      </c>
      <c r="Q957" s="22" t="str">
        <f>IF(N957&gt;Summary!$C$17,"Outlier","")</f>
        <v/>
      </c>
      <c r="R957" s="22" t="str">
        <f>IF(L957="","None",L957)</f>
        <v>WINTER15</v>
      </c>
    </row>
    <row r="958" spans="1:18" x14ac:dyDescent="0.2">
      <c r="A958" s="22" t="s">
        <v>3550</v>
      </c>
      <c r="B958" s="23">
        <v>45393</v>
      </c>
      <c r="C958" s="22" t="s">
        <v>2972</v>
      </c>
      <c r="D958" s="22" t="s">
        <v>67</v>
      </c>
      <c r="E958" s="22">
        <v>2</v>
      </c>
      <c r="F958" s="24">
        <v>160.97999999999999</v>
      </c>
      <c r="G958" s="22" t="s">
        <v>3551</v>
      </c>
      <c r="H958" s="22" t="s">
        <v>77</v>
      </c>
      <c r="I958" s="22" t="s">
        <v>69</v>
      </c>
      <c r="J958" s="22" t="s">
        <v>3552</v>
      </c>
      <c r="K958" s="22">
        <v>3</v>
      </c>
      <c r="L958" s="22" t="s">
        <v>83</v>
      </c>
      <c r="M958" s="22" t="s">
        <v>90</v>
      </c>
      <c r="N958" s="24">
        <v>321.95999999999998</v>
      </c>
      <c r="O958" s="22">
        <f>YEAR(B958)</f>
        <v>2024</v>
      </c>
      <c r="P958" s="25">
        <f>DATE(YEAR(B958),MONTH(B958),1)</f>
        <v>45383</v>
      </c>
      <c r="Q958" s="22" t="str">
        <f>IF(N958&gt;Summary!$C$17,"Outlier","")</f>
        <v/>
      </c>
      <c r="R958" s="22" t="str">
        <f>IF(L958="","None",L958)</f>
        <v>SAVE10</v>
      </c>
    </row>
    <row r="959" spans="1:18" x14ac:dyDescent="0.2">
      <c r="A959" s="22" t="s">
        <v>3553</v>
      </c>
      <c r="B959" s="23">
        <v>44938</v>
      </c>
      <c r="C959" s="22" t="s">
        <v>3554</v>
      </c>
      <c r="D959" s="22" t="s">
        <v>65</v>
      </c>
      <c r="E959" s="22">
        <v>5</v>
      </c>
      <c r="F959" s="24">
        <v>643.89</v>
      </c>
      <c r="G959" s="22" t="s">
        <v>3555</v>
      </c>
      <c r="H959" s="22" t="s">
        <v>75</v>
      </c>
      <c r="I959" s="22" t="s">
        <v>72</v>
      </c>
      <c r="J959" s="22" t="s">
        <v>3556</v>
      </c>
      <c r="K959" s="22">
        <v>8</v>
      </c>
      <c r="L959" s="22" t="s">
        <v>84</v>
      </c>
      <c r="M959" s="22" t="s">
        <v>87</v>
      </c>
      <c r="N959" s="24">
        <v>3219.45</v>
      </c>
      <c r="O959" s="22">
        <f>YEAR(B959)</f>
        <v>2023</v>
      </c>
      <c r="P959" s="25">
        <f>DATE(YEAR(B959),MONTH(B959),1)</f>
        <v>44927</v>
      </c>
      <c r="Q959" s="22" t="str">
        <f>IF(N959&gt;Summary!$C$17,"Outlier","")</f>
        <v/>
      </c>
      <c r="R959" s="22" t="str">
        <f>IF(L959="","None",L959)</f>
        <v>WINTER15</v>
      </c>
    </row>
    <row r="960" spans="1:18" x14ac:dyDescent="0.2">
      <c r="A960" s="22" t="s">
        <v>3557</v>
      </c>
      <c r="B960" s="23">
        <v>45059</v>
      </c>
      <c r="C960" s="22" t="s">
        <v>3558</v>
      </c>
      <c r="D960" s="22" t="s">
        <v>66</v>
      </c>
      <c r="E960" s="22">
        <v>3</v>
      </c>
      <c r="F960" s="24">
        <v>158.66</v>
      </c>
      <c r="G960" s="22" t="s">
        <v>1228</v>
      </c>
      <c r="H960" s="22" t="s">
        <v>78</v>
      </c>
      <c r="I960" s="22" t="s">
        <v>69</v>
      </c>
      <c r="J960" s="22" t="s">
        <v>3559</v>
      </c>
      <c r="K960" s="22">
        <v>7</v>
      </c>
      <c r="L960" s="22" t="s">
        <v>84</v>
      </c>
      <c r="M960" s="22" t="s">
        <v>86</v>
      </c>
      <c r="N960" s="24">
        <v>475.98</v>
      </c>
      <c r="O960" s="22">
        <f>YEAR(B960)</f>
        <v>2023</v>
      </c>
      <c r="P960" s="25">
        <f>DATE(YEAR(B960),MONTH(B960),1)</f>
        <v>45047</v>
      </c>
      <c r="Q960" s="22" t="str">
        <f>IF(N960&gt;Summary!$C$17,"Outlier","")</f>
        <v/>
      </c>
      <c r="R960" s="22" t="str">
        <f>IF(L960="","None",L960)</f>
        <v>WINTER15</v>
      </c>
    </row>
    <row r="961" spans="1:18" x14ac:dyDescent="0.2">
      <c r="A961" s="22" t="s">
        <v>3560</v>
      </c>
      <c r="B961" s="23">
        <v>45395</v>
      </c>
      <c r="C961" s="22" t="s">
        <v>3561</v>
      </c>
      <c r="D961" s="22" t="s">
        <v>64</v>
      </c>
      <c r="E961" s="22">
        <v>2</v>
      </c>
      <c r="F961" s="24">
        <v>143.82</v>
      </c>
      <c r="G961" s="22" t="s">
        <v>1267</v>
      </c>
      <c r="H961" s="22" t="s">
        <v>76</v>
      </c>
      <c r="I961" s="22" t="s">
        <v>72</v>
      </c>
      <c r="J961" s="22" t="s">
        <v>3562</v>
      </c>
      <c r="K961" s="22">
        <v>6</v>
      </c>
      <c r="L961" s="22" t="s">
        <v>83</v>
      </c>
      <c r="M961" s="22" t="s">
        <v>89</v>
      </c>
      <c r="N961" s="24">
        <v>287.64</v>
      </c>
      <c r="O961" s="22">
        <f>YEAR(B961)</f>
        <v>2024</v>
      </c>
      <c r="P961" s="25">
        <f>DATE(YEAR(B961),MONTH(B961),1)</f>
        <v>45383</v>
      </c>
      <c r="Q961" s="22" t="str">
        <f>IF(N961&gt;Summary!$C$17,"Outlier","")</f>
        <v/>
      </c>
      <c r="R961" s="22" t="str">
        <f>IF(L961="","None",L961)</f>
        <v>SAVE10</v>
      </c>
    </row>
    <row r="962" spans="1:18" x14ac:dyDescent="0.2">
      <c r="A962" s="22" t="s">
        <v>3563</v>
      </c>
      <c r="B962" s="23">
        <v>45271</v>
      </c>
      <c r="C962" s="22" t="s">
        <v>3564</v>
      </c>
      <c r="D962" s="22" t="s">
        <v>63</v>
      </c>
      <c r="E962" s="22">
        <v>3</v>
      </c>
      <c r="F962" s="24">
        <v>379.07</v>
      </c>
      <c r="G962" s="22" t="s">
        <v>1506</v>
      </c>
      <c r="H962" s="22" t="s">
        <v>78</v>
      </c>
      <c r="I962" s="22" t="s">
        <v>71</v>
      </c>
      <c r="J962" s="22" t="s">
        <v>3565</v>
      </c>
      <c r="K962" s="22">
        <v>3</v>
      </c>
      <c r="L962" s="22" t="s">
        <v>84</v>
      </c>
      <c r="M962" s="22" t="s">
        <v>88</v>
      </c>
      <c r="N962" s="24">
        <v>1137.21</v>
      </c>
      <c r="O962" s="22">
        <f>YEAR(B962)</f>
        <v>2023</v>
      </c>
      <c r="P962" s="25">
        <f>DATE(YEAR(B962),MONTH(B962),1)</f>
        <v>45261</v>
      </c>
      <c r="Q962" s="22" t="str">
        <f>IF(N962&gt;Summary!$C$17,"Outlier","")</f>
        <v/>
      </c>
      <c r="R962" s="22" t="str">
        <f>IF(L962="","None",L962)</f>
        <v>WINTER15</v>
      </c>
    </row>
    <row r="963" spans="1:18" x14ac:dyDescent="0.2">
      <c r="A963" s="22" t="s">
        <v>3566</v>
      </c>
      <c r="B963" s="23">
        <v>45607</v>
      </c>
      <c r="C963" s="22" t="s">
        <v>3567</v>
      </c>
      <c r="D963" s="22" t="s">
        <v>67</v>
      </c>
      <c r="E963" s="22">
        <v>1</v>
      </c>
      <c r="F963" s="24">
        <v>601.36</v>
      </c>
      <c r="G963" s="22" t="s">
        <v>1381</v>
      </c>
      <c r="H963" s="22" t="s">
        <v>79</v>
      </c>
      <c r="I963" s="22" t="s">
        <v>70</v>
      </c>
      <c r="J963" s="22" t="s">
        <v>3568</v>
      </c>
      <c r="K963" s="22">
        <v>1</v>
      </c>
      <c r="L963" s="22"/>
      <c r="M963" s="22" t="s">
        <v>87</v>
      </c>
      <c r="N963" s="24">
        <v>601.36</v>
      </c>
      <c r="O963" s="22">
        <f>YEAR(B963)</f>
        <v>2024</v>
      </c>
      <c r="P963" s="25">
        <f>DATE(YEAR(B963),MONTH(B963),1)</f>
        <v>45597</v>
      </c>
      <c r="Q963" s="22" t="str">
        <f>IF(N963&gt;Summary!$C$17,"Outlier","")</f>
        <v/>
      </c>
      <c r="R963" s="22" t="str">
        <f>IF(L963="","None",L963)</f>
        <v>None</v>
      </c>
    </row>
    <row r="964" spans="1:18" x14ac:dyDescent="0.2">
      <c r="A964" s="22" t="s">
        <v>3569</v>
      </c>
      <c r="B964" s="23">
        <v>45541</v>
      </c>
      <c r="C964" s="22" t="s">
        <v>3570</v>
      </c>
      <c r="D964" s="22" t="s">
        <v>67</v>
      </c>
      <c r="E964" s="22">
        <v>2</v>
      </c>
      <c r="F964" s="24">
        <v>142.08000000000001</v>
      </c>
      <c r="G964" s="22" t="s">
        <v>1061</v>
      </c>
      <c r="H964" s="22" t="s">
        <v>78</v>
      </c>
      <c r="I964" s="22" t="s">
        <v>69</v>
      </c>
      <c r="J964" s="22" t="s">
        <v>3571</v>
      </c>
      <c r="K964" s="22">
        <v>4</v>
      </c>
      <c r="L964" s="22" t="s">
        <v>83</v>
      </c>
      <c r="M964" s="22" t="s">
        <v>90</v>
      </c>
      <c r="N964" s="24">
        <v>284.16000000000003</v>
      </c>
      <c r="O964" s="22">
        <f>YEAR(B964)</f>
        <v>2024</v>
      </c>
      <c r="P964" s="25">
        <f>DATE(YEAR(B964),MONTH(B964),1)</f>
        <v>45536</v>
      </c>
      <c r="Q964" s="22" t="str">
        <f>IF(N964&gt;Summary!$C$17,"Outlier","")</f>
        <v/>
      </c>
      <c r="R964" s="22" t="str">
        <f>IF(L964="","None",L964)</f>
        <v>SAVE10</v>
      </c>
    </row>
    <row r="965" spans="1:18" x14ac:dyDescent="0.2">
      <c r="A965" s="22" t="s">
        <v>3572</v>
      </c>
      <c r="B965" s="23">
        <v>45362</v>
      </c>
      <c r="C965" s="22" t="s">
        <v>3573</v>
      </c>
      <c r="D965" s="22" t="s">
        <v>61</v>
      </c>
      <c r="E965" s="22">
        <v>5</v>
      </c>
      <c r="F965" s="24">
        <v>530.34</v>
      </c>
      <c r="G965" s="22" t="s">
        <v>820</v>
      </c>
      <c r="H965" s="22" t="s">
        <v>79</v>
      </c>
      <c r="I965" s="22" t="s">
        <v>70</v>
      </c>
      <c r="J965" s="22" t="s">
        <v>3574</v>
      </c>
      <c r="K965" s="22">
        <v>9</v>
      </c>
      <c r="L965" s="22" t="s">
        <v>82</v>
      </c>
      <c r="M965" s="22" t="s">
        <v>88</v>
      </c>
      <c r="N965" s="24">
        <v>2651.7</v>
      </c>
      <c r="O965" s="22">
        <f>YEAR(B965)</f>
        <v>2024</v>
      </c>
      <c r="P965" s="25">
        <f>DATE(YEAR(B965),MONTH(B965),1)</f>
        <v>45352</v>
      </c>
      <c r="Q965" s="22" t="str">
        <f>IF(N965&gt;Summary!$C$17,"Outlier","")</f>
        <v/>
      </c>
      <c r="R965" s="22" t="str">
        <f>IF(L965="","None",L965)</f>
        <v>FREESHIP</v>
      </c>
    </row>
    <row r="966" spans="1:18" x14ac:dyDescent="0.2">
      <c r="A966" s="22" t="s">
        <v>3575</v>
      </c>
      <c r="B966" s="23">
        <v>45158</v>
      </c>
      <c r="C966" s="22" t="s">
        <v>3576</v>
      </c>
      <c r="D966" s="22" t="s">
        <v>67</v>
      </c>
      <c r="E966" s="22">
        <v>5</v>
      </c>
      <c r="F966" s="24">
        <v>364.42</v>
      </c>
      <c r="G966" s="22" t="s">
        <v>1624</v>
      </c>
      <c r="H966" s="22" t="s">
        <v>76</v>
      </c>
      <c r="I966" s="22" t="s">
        <v>73</v>
      </c>
      <c r="J966" s="22" t="s">
        <v>3577</v>
      </c>
      <c r="K966" s="22">
        <v>10</v>
      </c>
      <c r="L966" s="22" t="s">
        <v>83</v>
      </c>
      <c r="M966" s="22" t="s">
        <v>90</v>
      </c>
      <c r="N966" s="24">
        <v>1822.1</v>
      </c>
      <c r="O966" s="22">
        <f>YEAR(B966)</f>
        <v>2023</v>
      </c>
      <c r="P966" s="25">
        <f>DATE(YEAR(B966),MONTH(B966),1)</f>
        <v>45139</v>
      </c>
      <c r="Q966" s="22" t="str">
        <f>IF(N966&gt;Summary!$C$17,"Outlier","")</f>
        <v/>
      </c>
      <c r="R966" s="22" t="str">
        <f>IF(L966="","None",L966)</f>
        <v>SAVE10</v>
      </c>
    </row>
    <row r="967" spans="1:18" x14ac:dyDescent="0.2">
      <c r="A967" s="22" t="s">
        <v>3578</v>
      </c>
      <c r="B967" s="23">
        <v>45826</v>
      </c>
      <c r="C967" s="22" t="s">
        <v>3579</v>
      </c>
      <c r="D967" s="22" t="s">
        <v>63</v>
      </c>
      <c r="E967" s="22">
        <v>4</v>
      </c>
      <c r="F967" s="24">
        <v>578.28</v>
      </c>
      <c r="G967" s="22" t="s">
        <v>1162</v>
      </c>
      <c r="H967" s="22" t="s">
        <v>78</v>
      </c>
      <c r="I967" s="22" t="s">
        <v>73</v>
      </c>
      <c r="J967" s="22" t="s">
        <v>3580</v>
      </c>
      <c r="K967" s="22">
        <v>5</v>
      </c>
      <c r="L967" s="22" t="s">
        <v>82</v>
      </c>
      <c r="M967" s="22" t="s">
        <v>86</v>
      </c>
      <c r="N967" s="24">
        <v>2313.12</v>
      </c>
      <c r="O967" s="22">
        <f>YEAR(B967)</f>
        <v>2025</v>
      </c>
      <c r="P967" s="25">
        <f>DATE(YEAR(B967),MONTH(B967),1)</f>
        <v>45809</v>
      </c>
      <c r="Q967" s="22" t="str">
        <f>IF(N967&gt;Summary!$C$17,"Outlier","")</f>
        <v/>
      </c>
      <c r="R967" s="22" t="str">
        <f>IF(L967="","None",L967)</f>
        <v>FREESHIP</v>
      </c>
    </row>
    <row r="968" spans="1:18" x14ac:dyDescent="0.2">
      <c r="A968" s="22" t="s">
        <v>3581</v>
      </c>
      <c r="B968" s="23">
        <v>45797</v>
      </c>
      <c r="C968" s="22" t="s">
        <v>3582</v>
      </c>
      <c r="D968" s="22" t="s">
        <v>65</v>
      </c>
      <c r="E968" s="22">
        <v>5</v>
      </c>
      <c r="F968" s="24">
        <v>280.52</v>
      </c>
      <c r="G968" s="22" t="s">
        <v>3583</v>
      </c>
      <c r="H968" s="22" t="s">
        <v>76</v>
      </c>
      <c r="I968" s="22" t="s">
        <v>73</v>
      </c>
      <c r="J968" s="22" t="s">
        <v>3584</v>
      </c>
      <c r="K968" s="22">
        <v>7</v>
      </c>
      <c r="L968" s="22" t="s">
        <v>84</v>
      </c>
      <c r="M968" s="22" t="s">
        <v>87</v>
      </c>
      <c r="N968" s="24">
        <v>1402.6</v>
      </c>
      <c r="O968" s="22">
        <f>YEAR(B968)</f>
        <v>2025</v>
      </c>
      <c r="P968" s="25">
        <f>DATE(YEAR(B968),MONTH(B968),1)</f>
        <v>45778</v>
      </c>
      <c r="Q968" s="22" t="str">
        <f>IF(N968&gt;Summary!$C$17,"Outlier","")</f>
        <v/>
      </c>
      <c r="R968" s="22" t="str">
        <f>IF(L968="","None",L968)</f>
        <v>WINTER15</v>
      </c>
    </row>
    <row r="969" spans="1:18" x14ac:dyDescent="0.2">
      <c r="A969" s="22" t="s">
        <v>3585</v>
      </c>
      <c r="B969" s="23">
        <v>45783</v>
      </c>
      <c r="C969" s="22" t="s">
        <v>3586</v>
      </c>
      <c r="D969" s="22" t="s">
        <v>64</v>
      </c>
      <c r="E969" s="22">
        <v>5</v>
      </c>
      <c r="F969" s="24">
        <v>638.91999999999996</v>
      </c>
      <c r="G969" s="22" t="s">
        <v>3587</v>
      </c>
      <c r="H969" s="22" t="s">
        <v>76</v>
      </c>
      <c r="I969" s="22" t="s">
        <v>72</v>
      </c>
      <c r="J969" s="22" t="s">
        <v>3588</v>
      </c>
      <c r="K969" s="22">
        <v>5</v>
      </c>
      <c r="L969" s="22" t="s">
        <v>82</v>
      </c>
      <c r="M969" s="22" t="s">
        <v>88</v>
      </c>
      <c r="N969" s="24">
        <v>3194.6</v>
      </c>
      <c r="O969" s="22">
        <f>YEAR(B969)</f>
        <v>2025</v>
      </c>
      <c r="P969" s="25">
        <f>DATE(YEAR(B969),MONTH(B969),1)</f>
        <v>45778</v>
      </c>
      <c r="Q969" s="22" t="str">
        <f>IF(N969&gt;Summary!$C$17,"Outlier","")</f>
        <v/>
      </c>
      <c r="R969" s="22" t="str">
        <f>IF(L969="","None",L969)</f>
        <v>FREESHIP</v>
      </c>
    </row>
    <row r="970" spans="1:18" x14ac:dyDescent="0.2">
      <c r="A970" s="22" t="s">
        <v>3589</v>
      </c>
      <c r="B970" s="23">
        <v>45330</v>
      </c>
      <c r="C970" s="22" t="s">
        <v>3590</v>
      </c>
      <c r="D970" s="22" t="s">
        <v>65</v>
      </c>
      <c r="E970" s="22">
        <v>4</v>
      </c>
      <c r="F970" s="24">
        <v>412.2</v>
      </c>
      <c r="G970" s="22" t="s">
        <v>3114</v>
      </c>
      <c r="H970" s="22" t="s">
        <v>76</v>
      </c>
      <c r="I970" s="22" t="s">
        <v>70</v>
      </c>
      <c r="J970" s="22" t="s">
        <v>3591</v>
      </c>
      <c r="K970" s="22">
        <v>6</v>
      </c>
      <c r="L970" s="22" t="s">
        <v>84</v>
      </c>
      <c r="M970" s="22" t="s">
        <v>90</v>
      </c>
      <c r="N970" s="24">
        <v>1648.8</v>
      </c>
      <c r="O970" s="22">
        <f>YEAR(B970)</f>
        <v>2024</v>
      </c>
      <c r="P970" s="25">
        <f>DATE(YEAR(B970),MONTH(B970),1)</f>
        <v>45323</v>
      </c>
      <c r="Q970" s="22" t="str">
        <f>IF(N970&gt;Summary!$C$17,"Outlier","")</f>
        <v/>
      </c>
      <c r="R970" s="22" t="str">
        <f>IF(L970="","None",L970)</f>
        <v>WINTER15</v>
      </c>
    </row>
    <row r="971" spans="1:18" x14ac:dyDescent="0.2">
      <c r="A971" s="22" t="s">
        <v>3592</v>
      </c>
      <c r="B971" s="23">
        <v>45813</v>
      </c>
      <c r="C971" s="22" t="s">
        <v>3593</v>
      </c>
      <c r="D971" s="22" t="s">
        <v>66</v>
      </c>
      <c r="E971" s="22">
        <v>1</v>
      </c>
      <c r="F971" s="24">
        <v>440.34</v>
      </c>
      <c r="G971" s="22" t="s">
        <v>3594</v>
      </c>
      <c r="H971" s="22" t="s">
        <v>78</v>
      </c>
      <c r="I971" s="22" t="s">
        <v>70</v>
      </c>
      <c r="J971" s="22" t="s">
        <v>3595</v>
      </c>
      <c r="K971" s="22">
        <v>2</v>
      </c>
      <c r="L971" s="22" t="s">
        <v>84</v>
      </c>
      <c r="M971" s="22" t="s">
        <v>87</v>
      </c>
      <c r="N971" s="24">
        <v>440.34</v>
      </c>
      <c r="O971" s="22">
        <f>YEAR(B971)</f>
        <v>2025</v>
      </c>
      <c r="P971" s="25">
        <f>DATE(YEAR(B971),MONTH(B971),1)</f>
        <v>45809</v>
      </c>
      <c r="Q971" s="22" t="str">
        <f>IF(N971&gt;Summary!$C$17,"Outlier","")</f>
        <v/>
      </c>
      <c r="R971" s="22" t="str">
        <f>IF(L971="","None",L971)</f>
        <v>WINTER15</v>
      </c>
    </row>
    <row r="972" spans="1:18" x14ac:dyDescent="0.2">
      <c r="A972" s="22" t="s">
        <v>3596</v>
      </c>
      <c r="B972" s="23">
        <v>45542</v>
      </c>
      <c r="C972" s="22" t="s">
        <v>3597</v>
      </c>
      <c r="D972" s="22" t="s">
        <v>66</v>
      </c>
      <c r="E972" s="22">
        <v>1</v>
      </c>
      <c r="F972" s="24">
        <v>627.15</v>
      </c>
      <c r="G972" s="22" t="s">
        <v>3598</v>
      </c>
      <c r="H972" s="22" t="s">
        <v>75</v>
      </c>
      <c r="I972" s="22" t="s">
        <v>69</v>
      </c>
      <c r="J972" s="22" t="s">
        <v>3599</v>
      </c>
      <c r="K972" s="22">
        <v>5</v>
      </c>
      <c r="L972" s="22" t="s">
        <v>83</v>
      </c>
      <c r="M972" s="22" t="s">
        <v>89</v>
      </c>
      <c r="N972" s="24">
        <v>627.15</v>
      </c>
      <c r="O972" s="22">
        <f>YEAR(B972)</f>
        <v>2024</v>
      </c>
      <c r="P972" s="25">
        <f>DATE(YEAR(B972),MONTH(B972),1)</f>
        <v>45536</v>
      </c>
      <c r="Q972" s="22" t="str">
        <f>IF(N972&gt;Summary!$C$17,"Outlier","")</f>
        <v/>
      </c>
      <c r="R972" s="22" t="str">
        <f>IF(L972="","None",L972)</f>
        <v>SAVE10</v>
      </c>
    </row>
    <row r="973" spans="1:18" x14ac:dyDescent="0.2">
      <c r="A973" s="22" t="s">
        <v>3600</v>
      </c>
      <c r="B973" s="23">
        <v>45439</v>
      </c>
      <c r="C973" s="22" t="s">
        <v>3601</v>
      </c>
      <c r="D973" s="22" t="s">
        <v>65</v>
      </c>
      <c r="E973" s="22">
        <v>2</v>
      </c>
      <c r="F973" s="24">
        <v>605.26</v>
      </c>
      <c r="G973" s="22" t="s">
        <v>139</v>
      </c>
      <c r="H973" s="22" t="s">
        <v>75</v>
      </c>
      <c r="I973" s="22" t="s">
        <v>73</v>
      </c>
      <c r="J973" s="22" t="s">
        <v>3602</v>
      </c>
      <c r="K973" s="22">
        <v>4</v>
      </c>
      <c r="L973" s="22" t="s">
        <v>84</v>
      </c>
      <c r="M973" s="22" t="s">
        <v>90</v>
      </c>
      <c r="N973" s="24">
        <v>1210.52</v>
      </c>
      <c r="O973" s="22">
        <f>YEAR(B973)</f>
        <v>2024</v>
      </c>
      <c r="P973" s="25">
        <f>DATE(YEAR(B973),MONTH(B973),1)</f>
        <v>45413</v>
      </c>
      <c r="Q973" s="22" t="str">
        <f>IF(N973&gt;Summary!$C$17,"Outlier","")</f>
        <v/>
      </c>
      <c r="R973" s="22" t="str">
        <f>IF(L973="","None",L973)</f>
        <v>WINTER15</v>
      </c>
    </row>
    <row r="974" spans="1:18" x14ac:dyDescent="0.2">
      <c r="A974" s="22" t="s">
        <v>3603</v>
      </c>
      <c r="B974" s="23">
        <v>45452</v>
      </c>
      <c r="C974" s="22" t="s">
        <v>3604</v>
      </c>
      <c r="D974" s="22" t="s">
        <v>63</v>
      </c>
      <c r="E974" s="22">
        <v>1</v>
      </c>
      <c r="F974" s="24">
        <v>90.27</v>
      </c>
      <c r="G974" s="22" t="s">
        <v>3605</v>
      </c>
      <c r="H974" s="22" t="s">
        <v>75</v>
      </c>
      <c r="I974" s="22" t="s">
        <v>69</v>
      </c>
      <c r="J974" s="22" t="s">
        <v>3606</v>
      </c>
      <c r="K974" s="22">
        <v>5</v>
      </c>
      <c r="L974" s="22" t="s">
        <v>83</v>
      </c>
      <c r="M974" s="22" t="s">
        <v>87</v>
      </c>
      <c r="N974" s="24">
        <v>90.27</v>
      </c>
      <c r="O974" s="22">
        <f>YEAR(B974)</f>
        <v>2024</v>
      </c>
      <c r="P974" s="25">
        <f>DATE(YEAR(B974),MONTH(B974),1)</f>
        <v>45444</v>
      </c>
      <c r="Q974" s="22" t="str">
        <f>IF(N974&gt;Summary!$C$17,"Outlier","")</f>
        <v/>
      </c>
      <c r="R974" s="22" t="str">
        <f>IF(L974="","None",L974)</f>
        <v>SAVE10</v>
      </c>
    </row>
    <row r="975" spans="1:18" x14ac:dyDescent="0.2">
      <c r="A975" s="22" t="s">
        <v>3607</v>
      </c>
      <c r="B975" s="23">
        <v>45817</v>
      </c>
      <c r="C975" s="22" t="s">
        <v>3608</v>
      </c>
      <c r="D975" s="22" t="s">
        <v>66</v>
      </c>
      <c r="E975" s="22">
        <v>5</v>
      </c>
      <c r="F975" s="24">
        <v>230.77</v>
      </c>
      <c r="G975" s="22" t="s">
        <v>3394</v>
      </c>
      <c r="H975" s="22" t="s">
        <v>79</v>
      </c>
      <c r="I975" s="22" t="s">
        <v>71</v>
      </c>
      <c r="J975" s="22" t="s">
        <v>3609</v>
      </c>
      <c r="K975" s="22">
        <v>10</v>
      </c>
      <c r="L975" s="22" t="s">
        <v>84</v>
      </c>
      <c r="M975" s="22" t="s">
        <v>90</v>
      </c>
      <c r="N975" s="24">
        <v>1153.8499999999999</v>
      </c>
      <c r="O975" s="22">
        <f>YEAR(B975)</f>
        <v>2025</v>
      </c>
      <c r="P975" s="25">
        <f>DATE(YEAR(B975),MONTH(B975),1)</f>
        <v>45809</v>
      </c>
      <c r="Q975" s="22" t="str">
        <f>IF(N975&gt;Summary!$C$17,"Outlier","")</f>
        <v/>
      </c>
      <c r="R975" s="22" t="str">
        <f>IF(L975="","None",L975)</f>
        <v>WINTER15</v>
      </c>
    </row>
    <row r="976" spans="1:18" x14ac:dyDescent="0.2">
      <c r="A976" s="22" t="s">
        <v>3610</v>
      </c>
      <c r="B976" s="23">
        <v>45196</v>
      </c>
      <c r="C976" s="22" t="s">
        <v>3611</v>
      </c>
      <c r="D976" s="22" t="s">
        <v>66</v>
      </c>
      <c r="E976" s="22">
        <v>5</v>
      </c>
      <c r="F976" s="24">
        <v>266.77999999999997</v>
      </c>
      <c r="G976" s="22" t="s">
        <v>1314</v>
      </c>
      <c r="H976" s="22" t="s">
        <v>78</v>
      </c>
      <c r="I976" s="22" t="s">
        <v>73</v>
      </c>
      <c r="J976" s="22" t="s">
        <v>3612</v>
      </c>
      <c r="K976" s="22">
        <v>5</v>
      </c>
      <c r="L976" s="22"/>
      <c r="M976" s="22" t="s">
        <v>86</v>
      </c>
      <c r="N976" s="24">
        <v>1333.9</v>
      </c>
      <c r="O976" s="22">
        <f>YEAR(B976)</f>
        <v>2023</v>
      </c>
      <c r="P976" s="25">
        <f>DATE(YEAR(B976),MONTH(B976),1)</f>
        <v>45170</v>
      </c>
      <c r="Q976" s="22" t="str">
        <f>IF(N976&gt;Summary!$C$17,"Outlier","")</f>
        <v/>
      </c>
      <c r="R976" s="22" t="str">
        <f>IF(L976="","None",L976)</f>
        <v>None</v>
      </c>
    </row>
    <row r="977" spans="1:18" x14ac:dyDescent="0.2">
      <c r="A977" s="22" t="s">
        <v>3613</v>
      </c>
      <c r="B977" s="23">
        <v>45064</v>
      </c>
      <c r="C977" s="22" t="s">
        <v>3614</v>
      </c>
      <c r="D977" s="22" t="s">
        <v>66</v>
      </c>
      <c r="E977" s="22">
        <v>1</v>
      </c>
      <c r="F977" s="24">
        <v>105.92</v>
      </c>
      <c r="G977" s="22" t="s">
        <v>1170</v>
      </c>
      <c r="H977" s="22" t="s">
        <v>78</v>
      </c>
      <c r="I977" s="22" t="s">
        <v>72</v>
      </c>
      <c r="J977" s="22" t="s">
        <v>3615</v>
      </c>
      <c r="K977" s="22">
        <v>6</v>
      </c>
      <c r="L977" s="22" t="s">
        <v>83</v>
      </c>
      <c r="M977" s="22" t="s">
        <v>86</v>
      </c>
      <c r="N977" s="24">
        <v>105.92</v>
      </c>
      <c r="O977" s="22">
        <f>YEAR(B977)</f>
        <v>2023</v>
      </c>
      <c r="P977" s="25">
        <f>DATE(YEAR(B977),MONTH(B977),1)</f>
        <v>45047</v>
      </c>
      <c r="Q977" s="22" t="str">
        <f>IF(N977&gt;Summary!$C$17,"Outlier","")</f>
        <v/>
      </c>
      <c r="R977" s="22" t="str">
        <f>IF(L977="","None",L977)</f>
        <v>SAVE10</v>
      </c>
    </row>
    <row r="978" spans="1:18" x14ac:dyDescent="0.2">
      <c r="A978" s="22" t="s">
        <v>3616</v>
      </c>
      <c r="B978" s="23">
        <v>45386</v>
      </c>
      <c r="C978" s="22" t="s">
        <v>3617</v>
      </c>
      <c r="D978" s="22" t="s">
        <v>64</v>
      </c>
      <c r="E978" s="22">
        <v>3</v>
      </c>
      <c r="F978" s="24">
        <v>589.29999999999995</v>
      </c>
      <c r="G978" s="22" t="s">
        <v>3097</v>
      </c>
      <c r="H978" s="22" t="s">
        <v>76</v>
      </c>
      <c r="I978" s="22" t="s">
        <v>72</v>
      </c>
      <c r="J978" s="22" t="s">
        <v>3618</v>
      </c>
      <c r="K978" s="22">
        <v>6</v>
      </c>
      <c r="L978" s="22" t="s">
        <v>84</v>
      </c>
      <c r="M978" s="22" t="s">
        <v>90</v>
      </c>
      <c r="N978" s="24">
        <v>1767.9</v>
      </c>
      <c r="O978" s="22">
        <f>YEAR(B978)</f>
        <v>2024</v>
      </c>
      <c r="P978" s="25">
        <f>DATE(YEAR(B978),MONTH(B978),1)</f>
        <v>45383</v>
      </c>
      <c r="Q978" s="22" t="str">
        <f>IF(N978&gt;Summary!$C$17,"Outlier","")</f>
        <v/>
      </c>
      <c r="R978" s="22" t="str">
        <f>IF(L978="","None",L978)</f>
        <v>WINTER15</v>
      </c>
    </row>
    <row r="979" spans="1:18" x14ac:dyDescent="0.2">
      <c r="A979" s="22" t="s">
        <v>3619</v>
      </c>
      <c r="B979" s="23">
        <v>44954</v>
      </c>
      <c r="C979" s="22" t="s">
        <v>3620</v>
      </c>
      <c r="D979" s="22" t="s">
        <v>61</v>
      </c>
      <c r="E979" s="22">
        <v>4</v>
      </c>
      <c r="F979" s="24">
        <v>649.47</v>
      </c>
      <c r="G979" s="22" t="s">
        <v>3621</v>
      </c>
      <c r="H979" s="22" t="s">
        <v>75</v>
      </c>
      <c r="I979" s="22" t="s">
        <v>71</v>
      </c>
      <c r="J979" s="22" t="s">
        <v>3622</v>
      </c>
      <c r="K979" s="22">
        <v>8</v>
      </c>
      <c r="L979" s="22" t="s">
        <v>83</v>
      </c>
      <c r="M979" s="22" t="s">
        <v>88</v>
      </c>
      <c r="N979" s="24">
        <v>2597.88</v>
      </c>
      <c r="O979" s="22">
        <f>YEAR(B979)</f>
        <v>2023</v>
      </c>
      <c r="P979" s="25">
        <f>DATE(YEAR(B979),MONTH(B979),1)</f>
        <v>44927</v>
      </c>
      <c r="Q979" s="22" t="str">
        <f>IF(N979&gt;Summary!$C$17,"Outlier","")</f>
        <v/>
      </c>
      <c r="R979" s="22" t="str">
        <f>IF(L979="","None",L979)</f>
        <v>SAVE10</v>
      </c>
    </row>
    <row r="980" spans="1:18" x14ac:dyDescent="0.2">
      <c r="A980" s="22" t="s">
        <v>3623</v>
      </c>
      <c r="B980" s="23">
        <v>45468</v>
      </c>
      <c r="C980" s="22" t="s">
        <v>3624</v>
      </c>
      <c r="D980" s="22" t="s">
        <v>62</v>
      </c>
      <c r="E980" s="22">
        <v>4</v>
      </c>
      <c r="F980" s="24">
        <v>107.49</v>
      </c>
      <c r="G980" s="22" t="s">
        <v>2724</v>
      </c>
      <c r="H980" s="22" t="s">
        <v>75</v>
      </c>
      <c r="I980" s="22" t="s">
        <v>69</v>
      </c>
      <c r="J980" s="22" t="s">
        <v>3625</v>
      </c>
      <c r="K980" s="22">
        <v>5</v>
      </c>
      <c r="L980" s="22"/>
      <c r="M980" s="22" t="s">
        <v>88</v>
      </c>
      <c r="N980" s="24">
        <v>429.96</v>
      </c>
      <c r="O980" s="22">
        <f>YEAR(B980)</f>
        <v>2024</v>
      </c>
      <c r="P980" s="25">
        <f>DATE(YEAR(B980),MONTH(B980),1)</f>
        <v>45444</v>
      </c>
      <c r="Q980" s="22" t="str">
        <f>IF(N980&gt;Summary!$C$17,"Outlier","")</f>
        <v/>
      </c>
      <c r="R980" s="22" t="str">
        <f>IF(L980="","None",L980)</f>
        <v>None</v>
      </c>
    </row>
    <row r="981" spans="1:18" x14ac:dyDescent="0.2">
      <c r="A981" s="22" t="s">
        <v>3626</v>
      </c>
      <c r="B981" s="23">
        <v>45077</v>
      </c>
      <c r="C981" s="22" t="s">
        <v>3627</v>
      </c>
      <c r="D981" s="22" t="s">
        <v>65</v>
      </c>
      <c r="E981" s="22">
        <v>3</v>
      </c>
      <c r="F981" s="24">
        <v>669.06</v>
      </c>
      <c r="G981" s="22" t="s">
        <v>1190</v>
      </c>
      <c r="H981" s="22" t="s">
        <v>75</v>
      </c>
      <c r="I981" s="22" t="s">
        <v>69</v>
      </c>
      <c r="J981" s="22" t="s">
        <v>3628</v>
      </c>
      <c r="K981" s="22">
        <v>7</v>
      </c>
      <c r="L981" s="22" t="s">
        <v>83</v>
      </c>
      <c r="M981" s="22" t="s">
        <v>87</v>
      </c>
      <c r="N981" s="24">
        <v>2007.18</v>
      </c>
      <c r="O981" s="22">
        <f>YEAR(B981)</f>
        <v>2023</v>
      </c>
      <c r="P981" s="25">
        <f>DATE(YEAR(B981),MONTH(B981),1)</f>
        <v>45047</v>
      </c>
      <c r="Q981" s="22" t="str">
        <f>IF(N981&gt;Summary!$C$17,"Outlier","")</f>
        <v/>
      </c>
      <c r="R981" s="22" t="str">
        <f>IF(L981="","None",L981)</f>
        <v>SAVE10</v>
      </c>
    </row>
    <row r="982" spans="1:18" x14ac:dyDescent="0.2">
      <c r="A982" s="22" t="s">
        <v>3629</v>
      </c>
      <c r="B982" s="23">
        <v>45213</v>
      </c>
      <c r="C982" s="22" t="s">
        <v>3630</v>
      </c>
      <c r="D982" s="22" t="s">
        <v>61</v>
      </c>
      <c r="E982" s="22">
        <v>3</v>
      </c>
      <c r="F982" s="24">
        <v>69.650000000000006</v>
      </c>
      <c r="G982" s="22" t="s">
        <v>3631</v>
      </c>
      <c r="H982" s="22" t="s">
        <v>75</v>
      </c>
      <c r="I982" s="22" t="s">
        <v>69</v>
      </c>
      <c r="J982" s="22" t="s">
        <v>3632</v>
      </c>
      <c r="K982" s="22">
        <v>7</v>
      </c>
      <c r="L982" s="22" t="s">
        <v>84</v>
      </c>
      <c r="M982" s="22" t="s">
        <v>89</v>
      </c>
      <c r="N982" s="24">
        <v>208.95</v>
      </c>
      <c r="O982" s="22">
        <f>YEAR(B982)</f>
        <v>2023</v>
      </c>
      <c r="P982" s="25">
        <f>DATE(YEAR(B982),MONTH(B982),1)</f>
        <v>45200</v>
      </c>
      <c r="Q982" s="22" t="str">
        <f>IF(N982&gt;Summary!$C$17,"Outlier","")</f>
        <v/>
      </c>
      <c r="R982" s="22" t="str">
        <f>IF(L982="","None",L982)</f>
        <v>WINTER15</v>
      </c>
    </row>
    <row r="983" spans="1:18" x14ac:dyDescent="0.2">
      <c r="A983" s="22" t="s">
        <v>3633</v>
      </c>
      <c r="B983" s="23">
        <v>45256</v>
      </c>
      <c r="C983" s="22" t="s">
        <v>3634</v>
      </c>
      <c r="D983" s="22" t="s">
        <v>67</v>
      </c>
      <c r="E983" s="22">
        <v>4</v>
      </c>
      <c r="F983" s="24">
        <v>136.83000000000001</v>
      </c>
      <c r="G983" s="22" t="s">
        <v>3635</v>
      </c>
      <c r="H983" s="22" t="s">
        <v>77</v>
      </c>
      <c r="I983" s="22" t="s">
        <v>71</v>
      </c>
      <c r="J983" s="22" t="s">
        <v>3636</v>
      </c>
      <c r="K983" s="22">
        <v>8</v>
      </c>
      <c r="L983" s="22" t="s">
        <v>83</v>
      </c>
      <c r="M983" s="22" t="s">
        <v>86</v>
      </c>
      <c r="N983" s="24">
        <v>547.32000000000005</v>
      </c>
      <c r="O983" s="22">
        <f>YEAR(B983)</f>
        <v>2023</v>
      </c>
      <c r="P983" s="25">
        <f>DATE(YEAR(B983),MONTH(B983),1)</f>
        <v>45231</v>
      </c>
      <c r="Q983" s="22" t="str">
        <f>IF(N983&gt;Summary!$C$17,"Outlier","")</f>
        <v/>
      </c>
      <c r="R983" s="22" t="str">
        <f>IF(L983="","None",L983)</f>
        <v>SAVE10</v>
      </c>
    </row>
    <row r="984" spans="1:18" x14ac:dyDescent="0.2">
      <c r="A984" s="22" t="s">
        <v>3637</v>
      </c>
      <c r="B984" s="23">
        <v>45541</v>
      </c>
      <c r="C984" s="22" t="s">
        <v>3638</v>
      </c>
      <c r="D984" s="22" t="s">
        <v>65</v>
      </c>
      <c r="E984" s="22">
        <v>1</v>
      </c>
      <c r="F984" s="24">
        <v>304.11</v>
      </c>
      <c r="G984" s="22" t="s">
        <v>2741</v>
      </c>
      <c r="H984" s="22" t="s">
        <v>78</v>
      </c>
      <c r="I984" s="22" t="s">
        <v>70</v>
      </c>
      <c r="J984" s="22" t="s">
        <v>3639</v>
      </c>
      <c r="K984" s="22">
        <v>2</v>
      </c>
      <c r="L984" s="22" t="s">
        <v>83</v>
      </c>
      <c r="M984" s="22" t="s">
        <v>90</v>
      </c>
      <c r="N984" s="24">
        <v>304.11</v>
      </c>
      <c r="O984" s="22">
        <f>YEAR(B984)</f>
        <v>2024</v>
      </c>
      <c r="P984" s="25">
        <f>DATE(YEAR(B984),MONTH(B984),1)</f>
        <v>45536</v>
      </c>
      <c r="Q984" s="22" t="str">
        <f>IF(N984&gt;Summary!$C$17,"Outlier","")</f>
        <v/>
      </c>
      <c r="R984" s="22" t="str">
        <f>IF(L984="","None",L984)</f>
        <v>SAVE10</v>
      </c>
    </row>
    <row r="985" spans="1:18" x14ac:dyDescent="0.2">
      <c r="A985" s="22" t="s">
        <v>3640</v>
      </c>
      <c r="B985" s="23">
        <v>45620</v>
      </c>
      <c r="C985" s="22" t="s">
        <v>3641</v>
      </c>
      <c r="D985" s="22" t="s">
        <v>65</v>
      </c>
      <c r="E985" s="22">
        <v>4</v>
      </c>
      <c r="F985" s="24">
        <v>296.27999999999997</v>
      </c>
      <c r="G985" s="22" t="s">
        <v>3642</v>
      </c>
      <c r="H985" s="22" t="s">
        <v>78</v>
      </c>
      <c r="I985" s="22" t="s">
        <v>70</v>
      </c>
      <c r="J985" s="22" t="s">
        <v>3643</v>
      </c>
      <c r="K985" s="22">
        <v>5</v>
      </c>
      <c r="L985" s="22" t="s">
        <v>83</v>
      </c>
      <c r="M985" s="22" t="s">
        <v>86</v>
      </c>
      <c r="N985" s="24">
        <v>1185.1199999999999</v>
      </c>
      <c r="O985" s="22">
        <f>YEAR(B985)</f>
        <v>2024</v>
      </c>
      <c r="P985" s="25">
        <f>DATE(YEAR(B985),MONTH(B985),1)</f>
        <v>45597</v>
      </c>
      <c r="Q985" s="22" t="str">
        <f>IF(N985&gt;Summary!$C$17,"Outlier","")</f>
        <v/>
      </c>
      <c r="R985" s="22" t="str">
        <f>IF(L985="","None",L985)</f>
        <v>SAVE10</v>
      </c>
    </row>
    <row r="986" spans="1:18" x14ac:dyDescent="0.2">
      <c r="A986" s="22" t="s">
        <v>3644</v>
      </c>
      <c r="B986" s="23">
        <v>45716</v>
      </c>
      <c r="C986" s="22" t="s">
        <v>3645</v>
      </c>
      <c r="D986" s="22" t="s">
        <v>66</v>
      </c>
      <c r="E986" s="22">
        <v>1</v>
      </c>
      <c r="F986" s="24">
        <v>77.64</v>
      </c>
      <c r="G986" s="22" t="s">
        <v>147</v>
      </c>
      <c r="H986" s="22" t="s">
        <v>76</v>
      </c>
      <c r="I986" s="22" t="s">
        <v>70</v>
      </c>
      <c r="J986" s="22" t="s">
        <v>3646</v>
      </c>
      <c r="K986" s="22">
        <v>1</v>
      </c>
      <c r="L986" s="22" t="s">
        <v>82</v>
      </c>
      <c r="M986" s="22" t="s">
        <v>87</v>
      </c>
      <c r="N986" s="24">
        <v>77.64</v>
      </c>
      <c r="O986" s="22">
        <f>YEAR(B986)</f>
        <v>2025</v>
      </c>
      <c r="P986" s="25">
        <f>DATE(YEAR(B986),MONTH(B986),1)</f>
        <v>45689</v>
      </c>
      <c r="Q986" s="22" t="str">
        <f>IF(N986&gt;Summary!$C$17,"Outlier","")</f>
        <v/>
      </c>
      <c r="R986" s="22" t="str">
        <f>IF(L986="","None",L986)</f>
        <v>FREESHIP</v>
      </c>
    </row>
    <row r="987" spans="1:18" x14ac:dyDescent="0.2">
      <c r="A987" s="22" t="s">
        <v>3647</v>
      </c>
      <c r="B987" s="23">
        <v>45493</v>
      </c>
      <c r="C987" s="22" t="s">
        <v>3648</v>
      </c>
      <c r="D987" s="22" t="s">
        <v>66</v>
      </c>
      <c r="E987" s="22">
        <v>1</v>
      </c>
      <c r="F987" s="24">
        <v>243.71</v>
      </c>
      <c r="G987" s="22" t="s">
        <v>1006</v>
      </c>
      <c r="H987" s="22" t="s">
        <v>78</v>
      </c>
      <c r="I987" s="22" t="s">
        <v>69</v>
      </c>
      <c r="J987" s="22" t="s">
        <v>3649</v>
      </c>
      <c r="K987" s="22">
        <v>6</v>
      </c>
      <c r="L987" s="22" t="s">
        <v>83</v>
      </c>
      <c r="M987" s="22" t="s">
        <v>88</v>
      </c>
      <c r="N987" s="24">
        <v>243.71</v>
      </c>
      <c r="O987" s="22">
        <f>YEAR(B987)</f>
        <v>2024</v>
      </c>
      <c r="P987" s="25">
        <f>DATE(YEAR(B987),MONTH(B987),1)</f>
        <v>45474</v>
      </c>
      <c r="Q987" s="22" t="str">
        <f>IF(N987&gt;Summary!$C$17,"Outlier","")</f>
        <v/>
      </c>
      <c r="R987" s="22" t="str">
        <f>IF(L987="","None",L987)</f>
        <v>SAVE10</v>
      </c>
    </row>
    <row r="988" spans="1:18" x14ac:dyDescent="0.2">
      <c r="A988" s="22" t="s">
        <v>3650</v>
      </c>
      <c r="B988" s="23">
        <v>45542</v>
      </c>
      <c r="C988" s="22" t="s">
        <v>3651</v>
      </c>
      <c r="D988" s="22" t="s">
        <v>63</v>
      </c>
      <c r="E988" s="22">
        <v>4</v>
      </c>
      <c r="F988" s="24">
        <v>644.96</v>
      </c>
      <c r="G988" s="22" t="s">
        <v>504</v>
      </c>
      <c r="H988" s="22" t="s">
        <v>76</v>
      </c>
      <c r="I988" s="22" t="s">
        <v>71</v>
      </c>
      <c r="J988" s="22" t="s">
        <v>3652</v>
      </c>
      <c r="K988" s="22">
        <v>7</v>
      </c>
      <c r="L988" s="22" t="s">
        <v>82</v>
      </c>
      <c r="M988" s="22" t="s">
        <v>86</v>
      </c>
      <c r="N988" s="24">
        <v>2579.84</v>
      </c>
      <c r="O988" s="22">
        <f>YEAR(B988)</f>
        <v>2024</v>
      </c>
      <c r="P988" s="25">
        <f>DATE(YEAR(B988),MONTH(B988),1)</f>
        <v>45536</v>
      </c>
      <c r="Q988" s="22" t="str">
        <f>IF(N988&gt;Summary!$C$17,"Outlier","")</f>
        <v/>
      </c>
      <c r="R988" s="22" t="str">
        <f>IF(L988="","None",L988)</f>
        <v>FREESHIP</v>
      </c>
    </row>
    <row r="989" spans="1:18" x14ac:dyDescent="0.2">
      <c r="A989" s="22" t="s">
        <v>3653</v>
      </c>
      <c r="B989" s="23">
        <v>45813</v>
      </c>
      <c r="C989" s="22" t="s">
        <v>3654</v>
      </c>
      <c r="D989" s="22" t="s">
        <v>67</v>
      </c>
      <c r="E989" s="22">
        <v>5</v>
      </c>
      <c r="F989" s="24">
        <v>283.73</v>
      </c>
      <c r="G989" s="22" t="s">
        <v>1772</v>
      </c>
      <c r="H989" s="22" t="s">
        <v>78</v>
      </c>
      <c r="I989" s="22" t="s">
        <v>71</v>
      </c>
      <c r="J989" s="22" t="s">
        <v>3655</v>
      </c>
      <c r="K989" s="22">
        <v>8</v>
      </c>
      <c r="L989" s="22" t="s">
        <v>82</v>
      </c>
      <c r="M989" s="22" t="s">
        <v>89</v>
      </c>
      <c r="N989" s="24">
        <v>1418.65</v>
      </c>
      <c r="O989" s="22">
        <f>YEAR(B989)</f>
        <v>2025</v>
      </c>
      <c r="P989" s="25">
        <f>DATE(YEAR(B989),MONTH(B989),1)</f>
        <v>45809</v>
      </c>
      <c r="Q989" s="22" t="str">
        <f>IF(N989&gt;Summary!$C$17,"Outlier","")</f>
        <v/>
      </c>
      <c r="R989" s="22" t="str">
        <f>IF(L989="","None",L989)</f>
        <v>FREESHIP</v>
      </c>
    </row>
    <row r="990" spans="1:18" x14ac:dyDescent="0.2">
      <c r="A990" s="22" t="s">
        <v>3656</v>
      </c>
      <c r="B990" s="23">
        <v>45692</v>
      </c>
      <c r="C990" s="22" t="s">
        <v>3657</v>
      </c>
      <c r="D990" s="22" t="s">
        <v>66</v>
      </c>
      <c r="E990" s="22">
        <v>2</v>
      </c>
      <c r="F990" s="24">
        <v>629.55999999999995</v>
      </c>
      <c r="G990" s="22" t="s">
        <v>1392</v>
      </c>
      <c r="H990" s="22" t="s">
        <v>78</v>
      </c>
      <c r="I990" s="22" t="s">
        <v>73</v>
      </c>
      <c r="J990" s="22" t="s">
        <v>3658</v>
      </c>
      <c r="K990" s="22">
        <v>5</v>
      </c>
      <c r="L990" s="22" t="s">
        <v>84</v>
      </c>
      <c r="M990" s="22" t="s">
        <v>89</v>
      </c>
      <c r="N990" s="24">
        <v>1259.1199999999999</v>
      </c>
      <c r="O990" s="22">
        <f>YEAR(B990)</f>
        <v>2025</v>
      </c>
      <c r="P990" s="25">
        <f>DATE(YEAR(B990),MONTH(B990),1)</f>
        <v>45689</v>
      </c>
      <c r="Q990" s="22" t="str">
        <f>IF(N990&gt;Summary!$C$17,"Outlier","")</f>
        <v/>
      </c>
      <c r="R990" s="22" t="str">
        <f>IF(L990="","None",L990)</f>
        <v>WINTER15</v>
      </c>
    </row>
    <row r="991" spans="1:18" x14ac:dyDescent="0.2">
      <c r="A991" s="22" t="s">
        <v>3659</v>
      </c>
      <c r="B991" s="23">
        <v>45008</v>
      </c>
      <c r="C991" s="22" t="s">
        <v>3660</v>
      </c>
      <c r="D991" s="22" t="s">
        <v>63</v>
      </c>
      <c r="E991" s="22">
        <v>4</v>
      </c>
      <c r="F991" s="24">
        <v>246.11</v>
      </c>
      <c r="G991" s="22" t="s">
        <v>3661</v>
      </c>
      <c r="H991" s="22" t="s">
        <v>76</v>
      </c>
      <c r="I991" s="22" t="s">
        <v>71</v>
      </c>
      <c r="J991" s="22" t="s">
        <v>3662</v>
      </c>
      <c r="K991" s="22">
        <v>4</v>
      </c>
      <c r="L991" s="22" t="s">
        <v>83</v>
      </c>
      <c r="M991" s="22" t="s">
        <v>89</v>
      </c>
      <c r="N991" s="24">
        <v>984.44</v>
      </c>
      <c r="O991" s="22">
        <f>YEAR(B991)</f>
        <v>2023</v>
      </c>
      <c r="P991" s="25">
        <f>DATE(YEAR(B991),MONTH(B991),1)</f>
        <v>44986</v>
      </c>
      <c r="Q991" s="22" t="str">
        <f>IF(N991&gt;Summary!$C$17,"Outlier","")</f>
        <v/>
      </c>
      <c r="R991" s="22" t="str">
        <f>IF(L991="","None",L991)</f>
        <v>SAVE10</v>
      </c>
    </row>
    <row r="992" spans="1:18" x14ac:dyDescent="0.2">
      <c r="A992" s="22" t="s">
        <v>3663</v>
      </c>
      <c r="B992" s="23">
        <v>45249</v>
      </c>
      <c r="C992" s="22" t="s">
        <v>3664</v>
      </c>
      <c r="D992" s="22" t="s">
        <v>67</v>
      </c>
      <c r="E992" s="22">
        <v>2</v>
      </c>
      <c r="F992" s="24">
        <v>418.26</v>
      </c>
      <c r="G992" s="22" t="s">
        <v>3665</v>
      </c>
      <c r="H992" s="22" t="s">
        <v>77</v>
      </c>
      <c r="I992" s="22" t="s">
        <v>71</v>
      </c>
      <c r="J992" s="22" t="s">
        <v>3666</v>
      </c>
      <c r="K992" s="22">
        <v>2</v>
      </c>
      <c r="L992" s="22" t="s">
        <v>83</v>
      </c>
      <c r="M992" s="22" t="s">
        <v>88</v>
      </c>
      <c r="N992" s="24">
        <v>836.52</v>
      </c>
      <c r="O992" s="22">
        <f>YEAR(B992)</f>
        <v>2023</v>
      </c>
      <c r="P992" s="25">
        <f>DATE(YEAR(B992),MONTH(B992),1)</f>
        <v>45231</v>
      </c>
      <c r="Q992" s="22" t="str">
        <f>IF(N992&gt;Summary!$C$17,"Outlier","")</f>
        <v/>
      </c>
      <c r="R992" s="22" t="str">
        <f>IF(L992="","None",L992)</f>
        <v>SAVE10</v>
      </c>
    </row>
    <row r="993" spans="1:18" x14ac:dyDescent="0.2">
      <c r="A993" s="22" t="s">
        <v>3667</v>
      </c>
      <c r="B993" s="23">
        <v>45421</v>
      </c>
      <c r="C993" s="22" t="s">
        <v>3668</v>
      </c>
      <c r="D993" s="22" t="s">
        <v>66</v>
      </c>
      <c r="E993" s="22">
        <v>5</v>
      </c>
      <c r="F993" s="24">
        <v>127.18</v>
      </c>
      <c r="G993" s="22" t="s">
        <v>657</v>
      </c>
      <c r="H993" s="22" t="s">
        <v>77</v>
      </c>
      <c r="I993" s="22" t="s">
        <v>73</v>
      </c>
      <c r="J993" s="22" t="s">
        <v>3669</v>
      </c>
      <c r="K993" s="22">
        <v>10</v>
      </c>
      <c r="L993" s="22" t="s">
        <v>82</v>
      </c>
      <c r="M993" s="22" t="s">
        <v>88</v>
      </c>
      <c r="N993" s="24">
        <v>635.9</v>
      </c>
      <c r="O993" s="22">
        <f>YEAR(B993)</f>
        <v>2024</v>
      </c>
      <c r="P993" s="25">
        <f>DATE(YEAR(B993),MONTH(B993),1)</f>
        <v>45413</v>
      </c>
      <c r="Q993" s="22" t="str">
        <f>IF(N993&gt;Summary!$C$17,"Outlier","")</f>
        <v/>
      </c>
      <c r="R993" s="22" t="str">
        <f>IF(L993="","None",L993)</f>
        <v>FREESHIP</v>
      </c>
    </row>
    <row r="994" spans="1:18" x14ac:dyDescent="0.2">
      <c r="A994" s="22" t="s">
        <v>3670</v>
      </c>
      <c r="B994" s="23">
        <v>45531</v>
      </c>
      <c r="C994" s="22" t="s">
        <v>3671</v>
      </c>
      <c r="D994" s="22" t="s">
        <v>62</v>
      </c>
      <c r="E994" s="22">
        <v>3</v>
      </c>
      <c r="F994" s="24">
        <v>586.21</v>
      </c>
      <c r="G994" s="22" t="s">
        <v>680</v>
      </c>
      <c r="H994" s="22" t="s">
        <v>78</v>
      </c>
      <c r="I994" s="22" t="s">
        <v>71</v>
      </c>
      <c r="J994" s="22" t="s">
        <v>3672</v>
      </c>
      <c r="K994" s="22">
        <v>4</v>
      </c>
      <c r="L994" s="22" t="s">
        <v>84</v>
      </c>
      <c r="M994" s="22" t="s">
        <v>90</v>
      </c>
      <c r="N994" s="24">
        <v>1758.63</v>
      </c>
      <c r="O994" s="22">
        <f>YEAR(B994)</f>
        <v>2024</v>
      </c>
      <c r="P994" s="25">
        <f>DATE(YEAR(B994),MONTH(B994),1)</f>
        <v>45505</v>
      </c>
      <c r="Q994" s="22" t="str">
        <f>IF(N994&gt;Summary!$C$17,"Outlier","")</f>
        <v/>
      </c>
      <c r="R994" s="22" t="str">
        <f>IF(L994="","None",L994)</f>
        <v>WINTER15</v>
      </c>
    </row>
    <row r="995" spans="1:18" x14ac:dyDescent="0.2">
      <c r="A995" s="22" t="s">
        <v>3673</v>
      </c>
      <c r="B995" s="23">
        <v>45388</v>
      </c>
      <c r="C995" s="22" t="s">
        <v>3674</v>
      </c>
      <c r="D995" s="22" t="s">
        <v>65</v>
      </c>
      <c r="E995" s="22">
        <v>3</v>
      </c>
      <c r="F995" s="24">
        <v>267.45</v>
      </c>
      <c r="G995" s="22" t="s">
        <v>3675</v>
      </c>
      <c r="H995" s="22" t="s">
        <v>78</v>
      </c>
      <c r="I995" s="22" t="s">
        <v>69</v>
      </c>
      <c r="J995" s="22" t="s">
        <v>3676</v>
      </c>
      <c r="K995" s="22">
        <v>5</v>
      </c>
      <c r="L995" s="22" t="s">
        <v>84</v>
      </c>
      <c r="M995" s="22" t="s">
        <v>89</v>
      </c>
      <c r="N995" s="24">
        <v>802.35</v>
      </c>
      <c r="O995" s="22">
        <f>YEAR(B995)</f>
        <v>2024</v>
      </c>
      <c r="P995" s="25">
        <f>DATE(YEAR(B995),MONTH(B995),1)</f>
        <v>45383</v>
      </c>
      <c r="Q995" s="22" t="str">
        <f>IF(N995&gt;Summary!$C$17,"Outlier","")</f>
        <v/>
      </c>
      <c r="R995" s="22" t="str">
        <f>IF(L995="","None",L995)</f>
        <v>WINTER15</v>
      </c>
    </row>
    <row r="996" spans="1:18" x14ac:dyDescent="0.2">
      <c r="A996" s="22" t="s">
        <v>3677</v>
      </c>
      <c r="B996" s="23">
        <v>45470</v>
      </c>
      <c r="C996" s="22" t="s">
        <v>3678</v>
      </c>
      <c r="D996" s="22" t="s">
        <v>64</v>
      </c>
      <c r="E996" s="22">
        <v>4</v>
      </c>
      <c r="F996" s="24">
        <v>615.65</v>
      </c>
      <c r="G996" s="22" t="s">
        <v>441</v>
      </c>
      <c r="H996" s="22" t="s">
        <v>77</v>
      </c>
      <c r="I996" s="22" t="s">
        <v>69</v>
      </c>
      <c r="J996" s="22" t="s">
        <v>3679</v>
      </c>
      <c r="K996" s="22">
        <v>9</v>
      </c>
      <c r="L996" s="22" t="s">
        <v>84</v>
      </c>
      <c r="M996" s="22" t="s">
        <v>88</v>
      </c>
      <c r="N996" s="24">
        <v>2462.6</v>
      </c>
      <c r="O996" s="22">
        <f>YEAR(B996)</f>
        <v>2024</v>
      </c>
      <c r="P996" s="25">
        <f>DATE(YEAR(B996),MONTH(B996),1)</f>
        <v>45444</v>
      </c>
      <c r="Q996" s="22" t="str">
        <f>IF(N996&gt;Summary!$C$17,"Outlier","")</f>
        <v/>
      </c>
      <c r="R996" s="22" t="str">
        <f>IF(L996="","None",L996)</f>
        <v>WINTER15</v>
      </c>
    </row>
    <row r="997" spans="1:18" x14ac:dyDescent="0.2">
      <c r="A997" s="22" t="s">
        <v>3680</v>
      </c>
      <c r="B997" s="23">
        <v>45248</v>
      </c>
      <c r="C997" s="22" t="s">
        <v>3681</v>
      </c>
      <c r="D997" s="22" t="s">
        <v>65</v>
      </c>
      <c r="E997" s="22">
        <v>2</v>
      </c>
      <c r="F997" s="24">
        <v>113.29</v>
      </c>
      <c r="G997" s="22" t="s">
        <v>2066</v>
      </c>
      <c r="H997" s="22" t="s">
        <v>75</v>
      </c>
      <c r="I997" s="22" t="s">
        <v>71</v>
      </c>
      <c r="J997" s="22" t="s">
        <v>3682</v>
      </c>
      <c r="K997" s="22">
        <v>5</v>
      </c>
      <c r="L997" s="22" t="s">
        <v>83</v>
      </c>
      <c r="M997" s="22" t="s">
        <v>87</v>
      </c>
      <c r="N997" s="24">
        <v>226.58</v>
      </c>
      <c r="O997" s="22">
        <f>YEAR(B997)</f>
        <v>2023</v>
      </c>
      <c r="P997" s="25">
        <f>DATE(YEAR(B997),MONTH(B997),1)</f>
        <v>45231</v>
      </c>
      <c r="Q997" s="22" t="str">
        <f>IF(N997&gt;Summary!$C$17,"Outlier","")</f>
        <v/>
      </c>
      <c r="R997" s="22" t="str">
        <f>IF(L997="","None",L997)</f>
        <v>SAVE10</v>
      </c>
    </row>
    <row r="998" spans="1:18" x14ac:dyDescent="0.2">
      <c r="A998" s="22" t="s">
        <v>3683</v>
      </c>
      <c r="B998" s="23">
        <v>45410</v>
      </c>
      <c r="C998" s="22" t="s">
        <v>3684</v>
      </c>
      <c r="D998" s="22" t="s">
        <v>65</v>
      </c>
      <c r="E998" s="22">
        <v>4</v>
      </c>
      <c r="F998" s="24">
        <v>473.86</v>
      </c>
      <c r="G998" s="22" t="s">
        <v>1333</v>
      </c>
      <c r="H998" s="22" t="s">
        <v>77</v>
      </c>
      <c r="I998" s="22" t="s">
        <v>69</v>
      </c>
      <c r="J998" s="22" t="s">
        <v>3685</v>
      </c>
      <c r="K998" s="22">
        <v>7</v>
      </c>
      <c r="L998" s="22" t="s">
        <v>83</v>
      </c>
      <c r="M998" s="22" t="s">
        <v>87</v>
      </c>
      <c r="N998" s="24">
        <v>1895.44</v>
      </c>
      <c r="O998" s="22">
        <f>YEAR(B998)</f>
        <v>2024</v>
      </c>
      <c r="P998" s="25">
        <f>DATE(YEAR(B998),MONTH(B998),1)</f>
        <v>45383</v>
      </c>
      <c r="Q998" s="22" t="str">
        <f>IF(N998&gt;Summary!$C$17,"Outlier","")</f>
        <v/>
      </c>
      <c r="R998" s="22" t="str">
        <f>IF(L998="","None",L998)</f>
        <v>SAVE10</v>
      </c>
    </row>
    <row r="999" spans="1:18" x14ac:dyDescent="0.2">
      <c r="A999" s="22" t="s">
        <v>3686</v>
      </c>
      <c r="B999" s="23">
        <v>45257</v>
      </c>
      <c r="C999" s="22" t="s">
        <v>3687</v>
      </c>
      <c r="D999" s="22" t="s">
        <v>63</v>
      </c>
      <c r="E999" s="22">
        <v>3</v>
      </c>
      <c r="F999" s="24">
        <v>444.75</v>
      </c>
      <c r="G999" s="22" t="s">
        <v>2012</v>
      </c>
      <c r="H999" s="22" t="s">
        <v>75</v>
      </c>
      <c r="I999" s="22" t="s">
        <v>69</v>
      </c>
      <c r="J999" s="22" t="s">
        <v>3688</v>
      </c>
      <c r="K999" s="22">
        <v>6</v>
      </c>
      <c r="L999" s="22" t="s">
        <v>83</v>
      </c>
      <c r="M999" s="22" t="s">
        <v>87</v>
      </c>
      <c r="N999" s="24">
        <v>1334.25</v>
      </c>
      <c r="O999" s="22">
        <f>YEAR(B999)</f>
        <v>2023</v>
      </c>
      <c r="P999" s="25">
        <f>DATE(YEAR(B999),MONTH(B999),1)</f>
        <v>45231</v>
      </c>
      <c r="Q999" s="22" t="str">
        <f>IF(N999&gt;Summary!$C$17,"Outlier","")</f>
        <v/>
      </c>
      <c r="R999" s="22" t="str">
        <f>IF(L999="","None",L999)</f>
        <v>SAVE10</v>
      </c>
    </row>
    <row r="1000" spans="1:18" x14ac:dyDescent="0.2">
      <c r="A1000" s="22" t="s">
        <v>3689</v>
      </c>
      <c r="B1000" s="23">
        <v>45065</v>
      </c>
      <c r="C1000" s="22" t="s">
        <v>3690</v>
      </c>
      <c r="D1000" s="22" t="s">
        <v>67</v>
      </c>
      <c r="E1000" s="22">
        <v>2</v>
      </c>
      <c r="F1000" s="24">
        <v>183.67</v>
      </c>
      <c r="G1000" s="22" t="s">
        <v>1033</v>
      </c>
      <c r="H1000" s="22" t="s">
        <v>77</v>
      </c>
      <c r="I1000" s="22" t="s">
        <v>73</v>
      </c>
      <c r="J1000" s="22" t="s">
        <v>3691</v>
      </c>
      <c r="K1000" s="22">
        <v>6</v>
      </c>
      <c r="L1000" s="22" t="s">
        <v>83</v>
      </c>
      <c r="M1000" s="22" t="s">
        <v>88</v>
      </c>
      <c r="N1000" s="24">
        <v>367.34</v>
      </c>
      <c r="O1000" s="22">
        <f>YEAR(B1000)</f>
        <v>2023</v>
      </c>
      <c r="P1000" s="25">
        <f>DATE(YEAR(B1000),MONTH(B1000),1)</f>
        <v>45047</v>
      </c>
      <c r="Q1000" s="22" t="str">
        <f>IF(N1000&gt;Summary!$C$17,"Outlier","")</f>
        <v/>
      </c>
      <c r="R1000" s="22" t="str">
        <f>IF(L1000="","None",L1000)</f>
        <v>SAVE10</v>
      </c>
    </row>
    <row r="1001" spans="1:18" x14ac:dyDescent="0.2">
      <c r="A1001" s="22" t="s">
        <v>3692</v>
      </c>
      <c r="B1001" s="23">
        <v>45284</v>
      </c>
      <c r="C1001" s="22" t="s">
        <v>3693</v>
      </c>
      <c r="D1001" s="22" t="s">
        <v>62</v>
      </c>
      <c r="E1001" s="22">
        <v>1</v>
      </c>
      <c r="F1001" s="24">
        <v>483.38</v>
      </c>
      <c r="G1001" s="22" t="s">
        <v>1695</v>
      </c>
      <c r="H1001" s="22" t="s">
        <v>75</v>
      </c>
      <c r="I1001" s="22" t="s">
        <v>71</v>
      </c>
      <c r="J1001" s="22" t="s">
        <v>3694</v>
      </c>
      <c r="K1001" s="22">
        <v>6</v>
      </c>
      <c r="L1001" s="22" t="s">
        <v>82</v>
      </c>
      <c r="M1001" s="22" t="s">
        <v>88</v>
      </c>
      <c r="N1001" s="24">
        <v>483.38</v>
      </c>
      <c r="O1001" s="22">
        <f>YEAR(B1001)</f>
        <v>2023</v>
      </c>
      <c r="P1001" s="25">
        <f>DATE(YEAR(B1001),MONTH(B1001),1)</f>
        <v>45261</v>
      </c>
      <c r="Q1001" s="22" t="str">
        <f>IF(N1001&gt;Summary!$C$17,"Outlier","")</f>
        <v/>
      </c>
      <c r="R1001" s="22" t="str">
        <f>IF(L1001="","None",L1001)</f>
        <v>FREESHIP</v>
      </c>
    </row>
    <row r="1002" spans="1:18" x14ac:dyDescent="0.2">
      <c r="A1002" s="22" t="s">
        <v>3695</v>
      </c>
      <c r="B1002" s="23">
        <v>45098</v>
      </c>
      <c r="C1002" s="22" t="s">
        <v>3696</v>
      </c>
      <c r="D1002" s="22" t="s">
        <v>62</v>
      </c>
      <c r="E1002" s="22">
        <v>5</v>
      </c>
      <c r="F1002" s="24">
        <v>260.93</v>
      </c>
      <c r="G1002" s="22" t="s">
        <v>3697</v>
      </c>
      <c r="H1002" s="22" t="s">
        <v>79</v>
      </c>
      <c r="I1002" s="22" t="s">
        <v>69</v>
      </c>
      <c r="J1002" s="22" t="s">
        <v>3698</v>
      </c>
      <c r="K1002" s="22">
        <v>9</v>
      </c>
      <c r="L1002" s="22" t="s">
        <v>83</v>
      </c>
      <c r="M1002" s="22" t="s">
        <v>86</v>
      </c>
      <c r="N1002" s="24">
        <v>1304.6500000000001</v>
      </c>
      <c r="O1002" s="22">
        <f>YEAR(B1002)</f>
        <v>2023</v>
      </c>
      <c r="P1002" s="25">
        <f>DATE(YEAR(B1002),MONTH(B1002),1)</f>
        <v>45078</v>
      </c>
      <c r="Q1002" s="22" t="str">
        <f>IF(N1002&gt;Summary!$C$17,"Outlier","")</f>
        <v/>
      </c>
      <c r="R1002" s="22" t="str">
        <f>IF(L1002="","None",L1002)</f>
        <v>SAVE10</v>
      </c>
    </row>
    <row r="1003" spans="1:18" x14ac:dyDescent="0.2">
      <c r="A1003" s="22" t="s">
        <v>3699</v>
      </c>
      <c r="B1003" s="23">
        <v>45268</v>
      </c>
      <c r="C1003" s="22" t="s">
        <v>3700</v>
      </c>
      <c r="D1003" s="22" t="s">
        <v>62</v>
      </c>
      <c r="E1003" s="22">
        <v>2</v>
      </c>
      <c r="F1003" s="24">
        <v>253.68</v>
      </c>
      <c r="G1003" s="22" t="s">
        <v>571</v>
      </c>
      <c r="H1003" s="22" t="s">
        <v>78</v>
      </c>
      <c r="I1003" s="22" t="s">
        <v>70</v>
      </c>
      <c r="J1003" s="22" t="s">
        <v>3701</v>
      </c>
      <c r="K1003" s="22">
        <v>6</v>
      </c>
      <c r="L1003" s="22"/>
      <c r="M1003" s="22" t="s">
        <v>90</v>
      </c>
      <c r="N1003" s="24">
        <v>507.36</v>
      </c>
      <c r="O1003" s="22">
        <f>YEAR(B1003)</f>
        <v>2023</v>
      </c>
      <c r="P1003" s="25">
        <f>DATE(YEAR(B1003),MONTH(B1003),1)</f>
        <v>45261</v>
      </c>
      <c r="Q1003" s="22" t="str">
        <f>IF(N1003&gt;Summary!$C$17,"Outlier","")</f>
        <v/>
      </c>
      <c r="R1003" s="22" t="str">
        <f>IF(L1003="","None",L1003)</f>
        <v>None</v>
      </c>
    </row>
    <row r="1004" spans="1:18" x14ac:dyDescent="0.2">
      <c r="A1004" s="22" t="s">
        <v>3702</v>
      </c>
      <c r="B1004" s="23">
        <v>45827</v>
      </c>
      <c r="C1004" s="22" t="s">
        <v>3703</v>
      </c>
      <c r="D1004" s="22" t="s">
        <v>64</v>
      </c>
      <c r="E1004" s="22">
        <v>4</v>
      </c>
      <c r="F1004" s="24">
        <v>699.88</v>
      </c>
      <c r="G1004" s="22" t="s">
        <v>520</v>
      </c>
      <c r="H1004" s="22" t="s">
        <v>75</v>
      </c>
      <c r="I1004" s="22" t="s">
        <v>71</v>
      </c>
      <c r="J1004" s="22" t="s">
        <v>3704</v>
      </c>
      <c r="K1004" s="22">
        <v>5</v>
      </c>
      <c r="L1004" s="22" t="s">
        <v>84</v>
      </c>
      <c r="M1004" s="22" t="s">
        <v>90</v>
      </c>
      <c r="N1004" s="24">
        <v>2799.52</v>
      </c>
      <c r="O1004" s="22">
        <f>YEAR(B1004)</f>
        <v>2025</v>
      </c>
      <c r="P1004" s="25">
        <f>DATE(YEAR(B1004),MONTH(B1004),1)</f>
        <v>45809</v>
      </c>
      <c r="Q1004" s="22" t="str">
        <f>IF(N1004&gt;Summary!$C$17,"Outlier","")</f>
        <v/>
      </c>
      <c r="R1004" s="22" t="str">
        <f>IF(L1004="","None",L1004)</f>
        <v>WINTER15</v>
      </c>
    </row>
    <row r="1005" spans="1:18" x14ac:dyDescent="0.2">
      <c r="A1005" s="22" t="s">
        <v>3705</v>
      </c>
      <c r="B1005" s="23">
        <v>44937</v>
      </c>
      <c r="C1005" s="22" t="s">
        <v>3706</v>
      </c>
      <c r="D1005" s="22" t="s">
        <v>62</v>
      </c>
      <c r="E1005" s="22">
        <v>5</v>
      </c>
      <c r="F1005" s="24">
        <v>319.97000000000003</v>
      </c>
      <c r="G1005" s="22" t="s">
        <v>3697</v>
      </c>
      <c r="H1005" s="22" t="s">
        <v>75</v>
      </c>
      <c r="I1005" s="22" t="s">
        <v>70</v>
      </c>
      <c r="J1005" s="22" t="s">
        <v>3707</v>
      </c>
      <c r="K1005" s="22">
        <v>7</v>
      </c>
      <c r="L1005" s="22" t="s">
        <v>83</v>
      </c>
      <c r="M1005" s="22" t="s">
        <v>88</v>
      </c>
      <c r="N1005" s="24">
        <v>1599.85</v>
      </c>
      <c r="O1005" s="22">
        <f>YEAR(B1005)</f>
        <v>2023</v>
      </c>
      <c r="P1005" s="25">
        <f>DATE(YEAR(B1005),MONTH(B1005),1)</f>
        <v>44927</v>
      </c>
      <c r="Q1005" s="22" t="str">
        <f>IF(N1005&gt;Summary!$C$17,"Outlier","")</f>
        <v/>
      </c>
      <c r="R1005" s="22" t="str">
        <f>IF(L1005="","None",L1005)</f>
        <v>SAVE10</v>
      </c>
    </row>
    <row r="1006" spans="1:18" x14ac:dyDescent="0.2">
      <c r="A1006" s="22" t="s">
        <v>3708</v>
      </c>
      <c r="B1006" s="23">
        <v>45817</v>
      </c>
      <c r="C1006" s="22" t="s">
        <v>3709</v>
      </c>
      <c r="D1006" s="22" t="s">
        <v>61</v>
      </c>
      <c r="E1006" s="22">
        <v>4</v>
      </c>
      <c r="F1006" s="24">
        <v>246.91</v>
      </c>
      <c r="G1006" s="22" t="s">
        <v>223</v>
      </c>
      <c r="H1006" s="22" t="s">
        <v>79</v>
      </c>
      <c r="I1006" s="22" t="s">
        <v>71</v>
      </c>
      <c r="J1006" s="22" t="s">
        <v>3710</v>
      </c>
      <c r="K1006" s="22">
        <v>8</v>
      </c>
      <c r="L1006" s="22" t="s">
        <v>83</v>
      </c>
      <c r="M1006" s="22" t="s">
        <v>90</v>
      </c>
      <c r="N1006" s="24">
        <v>987.64</v>
      </c>
      <c r="O1006" s="22">
        <f>YEAR(B1006)</f>
        <v>2025</v>
      </c>
      <c r="P1006" s="25">
        <f>DATE(YEAR(B1006),MONTH(B1006),1)</f>
        <v>45809</v>
      </c>
      <c r="Q1006" s="22" t="str">
        <f>IF(N1006&gt;Summary!$C$17,"Outlier","")</f>
        <v/>
      </c>
      <c r="R1006" s="22" t="str">
        <f>IF(L1006="","None",L1006)</f>
        <v>SAVE10</v>
      </c>
    </row>
    <row r="1007" spans="1:18" x14ac:dyDescent="0.2">
      <c r="A1007" s="22" t="s">
        <v>3711</v>
      </c>
      <c r="B1007" s="23">
        <v>44987</v>
      </c>
      <c r="C1007" s="22" t="s">
        <v>3712</v>
      </c>
      <c r="D1007" s="22" t="s">
        <v>62</v>
      </c>
      <c r="E1007" s="22">
        <v>3</v>
      </c>
      <c r="F1007" s="24">
        <v>392.85</v>
      </c>
      <c r="G1007" s="22" t="s">
        <v>3020</v>
      </c>
      <c r="H1007" s="22" t="s">
        <v>76</v>
      </c>
      <c r="I1007" s="22" t="s">
        <v>72</v>
      </c>
      <c r="J1007" s="22" t="s">
        <v>3713</v>
      </c>
      <c r="K1007" s="22">
        <v>6</v>
      </c>
      <c r="L1007" s="22"/>
      <c r="M1007" s="22" t="s">
        <v>88</v>
      </c>
      <c r="N1007" s="24">
        <v>1178.55</v>
      </c>
      <c r="O1007" s="22">
        <f>YEAR(B1007)</f>
        <v>2023</v>
      </c>
      <c r="P1007" s="25">
        <f>DATE(YEAR(B1007),MONTH(B1007),1)</f>
        <v>44986</v>
      </c>
      <c r="Q1007" s="22" t="str">
        <f>IF(N1007&gt;Summary!$C$17,"Outlier","")</f>
        <v/>
      </c>
      <c r="R1007" s="22" t="str">
        <f>IF(L1007="","None",L1007)</f>
        <v>None</v>
      </c>
    </row>
    <row r="1008" spans="1:18" x14ac:dyDescent="0.2">
      <c r="A1008" s="22" t="s">
        <v>3714</v>
      </c>
      <c r="B1008" s="23">
        <v>45439</v>
      </c>
      <c r="C1008" s="22" t="s">
        <v>3715</v>
      </c>
      <c r="D1008" s="22" t="s">
        <v>64</v>
      </c>
      <c r="E1008" s="22">
        <v>5</v>
      </c>
      <c r="F1008" s="24">
        <v>420.98</v>
      </c>
      <c r="G1008" s="22" t="s">
        <v>2592</v>
      </c>
      <c r="H1008" s="22" t="s">
        <v>75</v>
      </c>
      <c r="I1008" s="22" t="s">
        <v>69</v>
      </c>
      <c r="J1008" s="22" t="s">
        <v>3716</v>
      </c>
      <c r="K1008" s="22">
        <v>7</v>
      </c>
      <c r="L1008" s="22" t="s">
        <v>83</v>
      </c>
      <c r="M1008" s="22" t="s">
        <v>87</v>
      </c>
      <c r="N1008" s="24">
        <v>2104.9</v>
      </c>
      <c r="O1008" s="22">
        <f>YEAR(B1008)</f>
        <v>2024</v>
      </c>
      <c r="P1008" s="25">
        <f>DATE(YEAR(B1008),MONTH(B1008),1)</f>
        <v>45413</v>
      </c>
      <c r="Q1008" s="22" t="str">
        <f>IF(N1008&gt;Summary!$C$17,"Outlier","")</f>
        <v/>
      </c>
      <c r="R1008" s="22" t="str">
        <f>IF(L1008="","None",L1008)</f>
        <v>SAVE10</v>
      </c>
    </row>
    <row r="1009" spans="1:18" x14ac:dyDescent="0.2">
      <c r="A1009" s="22" t="s">
        <v>3717</v>
      </c>
      <c r="B1009" s="23">
        <v>45371</v>
      </c>
      <c r="C1009" s="22" t="s">
        <v>1942</v>
      </c>
      <c r="D1009" s="22" t="s">
        <v>65</v>
      </c>
      <c r="E1009" s="22">
        <v>2</v>
      </c>
      <c r="F1009" s="24">
        <v>73.260000000000005</v>
      </c>
      <c r="G1009" s="22" t="s">
        <v>493</v>
      </c>
      <c r="H1009" s="22" t="s">
        <v>75</v>
      </c>
      <c r="I1009" s="22" t="s">
        <v>71</v>
      </c>
      <c r="J1009" s="22" t="s">
        <v>3718</v>
      </c>
      <c r="K1009" s="22">
        <v>4</v>
      </c>
      <c r="L1009" s="22" t="s">
        <v>84</v>
      </c>
      <c r="M1009" s="22" t="s">
        <v>87</v>
      </c>
      <c r="N1009" s="24">
        <v>146.52000000000001</v>
      </c>
      <c r="O1009" s="22">
        <f>YEAR(B1009)</f>
        <v>2024</v>
      </c>
      <c r="P1009" s="25">
        <f>DATE(YEAR(B1009),MONTH(B1009),1)</f>
        <v>45352</v>
      </c>
      <c r="Q1009" s="22" t="str">
        <f>IF(N1009&gt;Summary!$C$17,"Outlier","")</f>
        <v/>
      </c>
      <c r="R1009" s="22" t="str">
        <f>IF(L1009="","None",L1009)</f>
        <v>WINTER15</v>
      </c>
    </row>
    <row r="1010" spans="1:18" x14ac:dyDescent="0.2">
      <c r="A1010" s="22" t="s">
        <v>3719</v>
      </c>
      <c r="B1010" s="23">
        <v>44939</v>
      </c>
      <c r="C1010" s="22" t="s">
        <v>3720</v>
      </c>
      <c r="D1010" s="22" t="s">
        <v>65</v>
      </c>
      <c r="E1010" s="22">
        <v>3</v>
      </c>
      <c r="F1010" s="24">
        <v>410.88</v>
      </c>
      <c r="G1010" s="22" t="s">
        <v>2939</v>
      </c>
      <c r="H1010" s="22" t="s">
        <v>75</v>
      </c>
      <c r="I1010" s="22" t="s">
        <v>69</v>
      </c>
      <c r="J1010" s="22" t="s">
        <v>3721</v>
      </c>
      <c r="K1010" s="22">
        <v>8</v>
      </c>
      <c r="L1010" s="22" t="s">
        <v>82</v>
      </c>
      <c r="M1010" s="22" t="s">
        <v>89</v>
      </c>
      <c r="N1010" s="24">
        <v>1232.6400000000001</v>
      </c>
      <c r="O1010" s="22">
        <f>YEAR(B1010)</f>
        <v>2023</v>
      </c>
      <c r="P1010" s="25">
        <f>DATE(YEAR(B1010),MONTH(B1010),1)</f>
        <v>44927</v>
      </c>
      <c r="Q1010" s="22" t="str">
        <f>IF(N1010&gt;Summary!$C$17,"Outlier","")</f>
        <v/>
      </c>
      <c r="R1010" s="22" t="str">
        <f>IF(L1010="","None",L1010)</f>
        <v>FREESHIP</v>
      </c>
    </row>
    <row r="1011" spans="1:18" x14ac:dyDescent="0.2">
      <c r="A1011" s="22" t="s">
        <v>3722</v>
      </c>
      <c r="B1011" s="23">
        <v>45171</v>
      </c>
      <c r="C1011" s="22" t="s">
        <v>3723</v>
      </c>
      <c r="D1011" s="22" t="s">
        <v>64</v>
      </c>
      <c r="E1011" s="22">
        <v>2</v>
      </c>
      <c r="F1011" s="24">
        <v>176.46</v>
      </c>
      <c r="G1011" s="22" t="s">
        <v>2019</v>
      </c>
      <c r="H1011" s="22" t="s">
        <v>76</v>
      </c>
      <c r="I1011" s="22" t="s">
        <v>69</v>
      </c>
      <c r="J1011" s="22" t="s">
        <v>3724</v>
      </c>
      <c r="K1011" s="22">
        <v>2</v>
      </c>
      <c r="L1011" s="22" t="s">
        <v>82</v>
      </c>
      <c r="M1011" s="22" t="s">
        <v>86</v>
      </c>
      <c r="N1011" s="24">
        <v>352.92</v>
      </c>
      <c r="O1011" s="22">
        <f>YEAR(B1011)</f>
        <v>2023</v>
      </c>
      <c r="P1011" s="25">
        <f>DATE(YEAR(B1011),MONTH(B1011),1)</f>
        <v>45170</v>
      </c>
      <c r="Q1011" s="22" t="str">
        <f>IF(N1011&gt;Summary!$C$17,"Outlier","")</f>
        <v/>
      </c>
      <c r="R1011" s="22" t="str">
        <f>IF(L1011="","None",L1011)</f>
        <v>FREESHIP</v>
      </c>
    </row>
    <row r="1012" spans="1:18" x14ac:dyDescent="0.2">
      <c r="A1012" s="22" t="s">
        <v>3725</v>
      </c>
      <c r="B1012" s="23">
        <v>45016</v>
      </c>
      <c r="C1012" s="22" t="s">
        <v>3726</v>
      </c>
      <c r="D1012" s="22" t="s">
        <v>65</v>
      </c>
      <c r="E1012" s="22">
        <v>3</v>
      </c>
      <c r="F1012" s="24">
        <v>659.57</v>
      </c>
      <c r="G1012" s="22" t="s">
        <v>504</v>
      </c>
      <c r="H1012" s="22" t="s">
        <v>76</v>
      </c>
      <c r="I1012" s="22" t="s">
        <v>73</v>
      </c>
      <c r="J1012" s="22" t="s">
        <v>3727</v>
      </c>
      <c r="K1012" s="22">
        <v>6</v>
      </c>
      <c r="L1012" s="22" t="s">
        <v>83</v>
      </c>
      <c r="M1012" s="22" t="s">
        <v>86</v>
      </c>
      <c r="N1012" s="24">
        <v>1978.71</v>
      </c>
      <c r="O1012" s="22">
        <f>YEAR(B1012)</f>
        <v>2023</v>
      </c>
      <c r="P1012" s="25">
        <f>DATE(YEAR(B1012),MONTH(B1012),1)</f>
        <v>44986</v>
      </c>
      <c r="Q1012" s="22" t="str">
        <f>IF(N1012&gt;Summary!$C$17,"Outlier","")</f>
        <v/>
      </c>
      <c r="R1012" s="22" t="str">
        <f>IF(L1012="","None",L1012)</f>
        <v>SAVE10</v>
      </c>
    </row>
    <row r="1013" spans="1:18" x14ac:dyDescent="0.2">
      <c r="A1013" s="22" t="s">
        <v>3728</v>
      </c>
      <c r="B1013" s="23">
        <v>45629</v>
      </c>
      <c r="C1013" s="22" t="s">
        <v>3729</v>
      </c>
      <c r="D1013" s="22" t="s">
        <v>67</v>
      </c>
      <c r="E1013" s="22">
        <v>2</v>
      </c>
      <c r="F1013" s="24">
        <v>478.36</v>
      </c>
      <c r="G1013" s="22" t="s">
        <v>1182</v>
      </c>
      <c r="H1013" s="22" t="s">
        <v>79</v>
      </c>
      <c r="I1013" s="22" t="s">
        <v>70</v>
      </c>
      <c r="J1013" s="22" t="s">
        <v>3730</v>
      </c>
      <c r="K1013" s="22">
        <v>3</v>
      </c>
      <c r="L1013" s="22"/>
      <c r="M1013" s="22" t="s">
        <v>88</v>
      </c>
      <c r="N1013" s="24">
        <v>956.72</v>
      </c>
      <c r="O1013" s="22">
        <f>YEAR(B1013)</f>
        <v>2024</v>
      </c>
      <c r="P1013" s="25">
        <f>DATE(YEAR(B1013),MONTH(B1013),1)</f>
        <v>45627</v>
      </c>
      <c r="Q1013" s="22" t="str">
        <f>IF(N1013&gt;Summary!$C$17,"Outlier","")</f>
        <v/>
      </c>
      <c r="R1013" s="22" t="str">
        <f>IF(L1013="","None",L1013)</f>
        <v>None</v>
      </c>
    </row>
    <row r="1014" spans="1:18" x14ac:dyDescent="0.2">
      <c r="A1014" s="22" t="s">
        <v>3731</v>
      </c>
      <c r="B1014" s="23">
        <v>45629</v>
      </c>
      <c r="C1014" s="22" t="s">
        <v>3732</v>
      </c>
      <c r="D1014" s="22" t="s">
        <v>62</v>
      </c>
      <c r="E1014" s="22">
        <v>4</v>
      </c>
      <c r="F1014" s="24">
        <v>30.05</v>
      </c>
      <c r="G1014" s="22" t="s">
        <v>1329</v>
      </c>
      <c r="H1014" s="22" t="s">
        <v>79</v>
      </c>
      <c r="I1014" s="22" t="s">
        <v>72</v>
      </c>
      <c r="J1014" s="22" t="s">
        <v>3733</v>
      </c>
      <c r="K1014" s="22">
        <v>6</v>
      </c>
      <c r="L1014" s="22"/>
      <c r="M1014" s="22" t="s">
        <v>87</v>
      </c>
      <c r="N1014" s="24">
        <v>120.2</v>
      </c>
      <c r="O1014" s="22">
        <f>YEAR(B1014)</f>
        <v>2024</v>
      </c>
      <c r="P1014" s="25">
        <f>DATE(YEAR(B1014),MONTH(B1014),1)</f>
        <v>45627</v>
      </c>
      <c r="Q1014" s="22" t="str">
        <f>IF(N1014&gt;Summary!$C$17,"Outlier","")</f>
        <v/>
      </c>
      <c r="R1014" s="22" t="str">
        <f>IF(L1014="","None",L1014)</f>
        <v>None</v>
      </c>
    </row>
    <row r="1015" spans="1:18" x14ac:dyDescent="0.2">
      <c r="A1015" s="22" t="s">
        <v>3734</v>
      </c>
      <c r="B1015" s="23">
        <v>45773</v>
      </c>
      <c r="C1015" s="22" t="s">
        <v>3735</v>
      </c>
      <c r="D1015" s="22" t="s">
        <v>63</v>
      </c>
      <c r="E1015" s="22">
        <v>4</v>
      </c>
      <c r="F1015" s="24">
        <v>300.56</v>
      </c>
      <c r="G1015" s="22" t="s">
        <v>343</v>
      </c>
      <c r="H1015" s="22" t="s">
        <v>75</v>
      </c>
      <c r="I1015" s="22" t="s">
        <v>73</v>
      </c>
      <c r="J1015" s="22" t="s">
        <v>3736</v>
      </c>
      <c r="K1015" s="22">
        <v>9</v>
      </c>
      <c r="L1015" s="22" t="s">
        <v>82</v>
      </c>
      <c r="M1015" s="22" t="s">
        <v>87</v>
      </c>
      <c r="N1015" s="24">
        <v>1202.24</v>
      </c>
      <c r="O1015" s="22">
        <f>YEAR(B1015)</f>
        <v>2025</v>
      </c>
      <c r="P1015" s="25">
        <f>DATE(YEAR(B1015),MONTH(B1015),1)</f>
        <v>45748</v>
      </c>
      <c r="Q1015" s="22" t="str">
        <f>IF(N1015&gt;Summary!$C$17,"Outlier","")</f>
        <v/>
      </c>
      <c r="R1015" s="22" t="str">
        <f>IF(L1015="","None",L1015)</f>
        <v>FREESHIP</v>
      </c>
    </row>
    <row r="1016" spans="1:18" x14ac:dyDescent="0.2">
      <c r="A1016" s="22" t="s">
        <v>3737</v>
      </c>
      <c r="B1016" s="23">
        <v>45326</v>
      </c>
      <c r="C1016" s="22" t="s">
        <v>3738</v>
      </c>
      <c r="D1016" s="22" t="s">
        <v>64</v>
      </c>
      <c r="E1016" s="22">
        <v>5</v>
      </c>
      <c r="F1016" s="24">
        <v>226.45</v>
      </c>
      <c r="G1016" s="22" t="s">
        <v>1818</v>
      </c>
      <c r="H1016" s="22" t="s">
        <v>77</v>
      </c>
      <c r="I1016" s="22" t="s">
        <v>72</v>
      </c>
      <c r="J1016" s="22" t="s">
        <v>3739</v>
      </c>
      <c r="K1016" s="22">
        <v>6</v>
      </c>
      <c r="L1016" s="22" t="s">
        <v>82</v>
      </c>
      <c r="M1016" s="22" t="s">
        <v>86</v>
      </c>
      <c r="N1016" s="24">
        <v>1132.25</v>
      </c>
      <c r="O1016" s="22">
        <f>YEAR(B1016)</f>
        <v>2024</v>
      </c>
      <c r="P1016" s="25">
        <f>DATE(YEAR(B1016),MONTH(B1016),1)</f>
        <v>45323</v>
      </c>
      <c r="Q1016" s="22" t="str">
        <f>IF(N1016&gt;Summary!$C$17,"Outlier","")</f>
        <v/>
      </c>
      <c r="R1016" s="22" t="str">
        <f>IF(L1016="","None",L1016)</f>
        <v>FREESHIP</v>
      </c>
    </row>
    <row r="1017" spans="1:18" x14ac:dyDescent="0.2">
      <c r="A1017" s="22" t="s">
        <v>3740</v>
      </c>
      <c r="B1017" s="23">
        <v>45317</v>
      </c>
      <c r="C1017" s="22" t="s">
        <v>3741</v>
      </c>
      <c r="D1017" s="22" t="s">
        <v>62</v>
      </c>
      <c r="E1017" s="22">
        <v>2</v>
      </c>
      <c r="F1017" s="24">
        <v>349.4</v>
      </c>
      <c r="G1017" s="22" t="s">
        <v>2357</v>
      </c>
      <c r="H1017" s="22" t="s">
        <v>79</v>
      </c>
      <c r="I1017" s="22" t="s">
        <v>70</v>
      </c>
      <c r="J1017" s="22" t="s">
        <v>3742</v>
      </c>
      <c r="K1017" s="22">
        <v>2</v>
      </c>
      <c r="L1017" s="22" t="s">
        <v>83</v>
      </c>
      <c r="M1017" s="22" t="s">
        <v>89</v>
      </c>
      <c r="N1017" s="24">
        <v>698.8</v>
      </c>
      <c r="O1017" s="22">
        <f>YEAR(B1017)</f>
        <v>2024</v>
      </c>
      <c r="P1017" s="25">
        <f>DATE(YEAR(B1017),MONTH(B1017),1)</f>
        <v>45292</v>
      </c>
      <c r="Q1017" s="22" t="str">
        <f>IF(N1017&gt;Summary!$C$17,"Outlier","")</f>
        <v/>
      </c>
      <c r="R1017" s="22" t="str">
        <f>IF(L1017="","None",L1017)</f>
        <v>SAVE10</v>
      </c>
    </row>
    <row r="1018" spans="1:18" x14ac:dyDescent="0.2">
      <c r="A1018" s="22" t="s">
        <v>3743</v>
      </c>
      <c r="B1018" s="23">
        <v>45289</v>
      </c>
      <c r="C1018" s="22" t="s">
        <v>3744</v>
      </c>
      <c r="D1018" s="22" t="s">
        <v>64</v>
      </c>
      <c r="E1018" s="22">
        <v>5</v>
      </c>
      <c r="F1018" s="24">
        <v>268.77999999999997</v>
      </c>
      <c r="G1018" s="22" t="s">
        <v>3745</v>
      </c>
      <c r="H1018" s="22" t="s">
        <v>77</v>
      </c>
      <c r="I1018" s="22" t="s">
        <v>69</v>
      </c>
      <c r="J1018" s="22" t="s">
        <v>3746</v>
      </c>
      <c r="K1018" s="22">
        <v>7</v>
      </c>
      <c r="L1018" s="22" t="s">
        <v>84</v>
      </c>
      <c r="M1018" s="22" t="s">
        <v>86</v>
      </c>
      <c r="N1018" s="24">
        <v>1343.9</v>
      </c>
      <c r="O1018" s="22">
        <f>YEAR(B1018)</f>
        <v>2023</v>
      </c>
      <c r="P1018" s="25">
        <f>DATE(YEAR(B1018),MONTH(B1018),1)</f>
        <v>45261</v>
      </c>
      <c r="Q1018" s="22" t="str">
        <f>IF(N1018&gt;Summary!$C$17,"Outlier","")</f>
        <v/>
      </c>
      <c r="R1018" s="22" t="str">
        <f>IF(L1018="","None",L1018)</f>
        <v>WINTER15</v>
      </c>
    </row>
    <row r="1019" spans="1:18" x14ac:dyDescent="0.2">
      <c r="A1019" s="22" t="s">
        <v>3747</v>
      </c>
      <c r="B1019" s="23">
        <v>45529</v>
      </c>
      <c r="C1019" s="22" t="s">
        <v>3748</v>
      </c>
      <c r="D1019" s="22" t="s">
        <v>61</v>
      </c>
      <c r="E1019" s="22">
        <v>2</v>
      </c>
      <c r="F1019" s="24">
        <v>680.85</v>
      </c>
      <c r="G1019" s="22" t="s">
        <v>3749</v>
      </c>
      <c r="H1019" s="22" t="s">
        <v>78</v>
      </c>
      <c r="I1019" s="22" t="s">
        <v>69</v>
      </c>
      <c r="J1019" s="22" t="s">
        <v>3750</v>
      </c>
      <c r="K1019" s="22">
        <v>6</v>
      </c>
      <c r="L1019" s="22" t="s">
        <v>82</v>
      </c>
      <c r="M1019" s="22" t="s">
        <v>90</v>
      </c>
      <c r="N1019" s="24">
        <v>1361.7</v>
      </c>
      <c r="O1019" s="22">
        <f>YEAR(B1019)</f>
        <v>2024</v>
      </c>
      <c r="P1019" s="25">
        <f>DATE(YEAR(B1019),MONTH(B1019),1)</f>
        <v>45505</v>
      </c>
      <c r="Q1019" s="22" t="str">
        <f>IF(N1019&gt;Summary!$C$17,"Outlier","")</f>
        <v/>
      </c>
      <c r="R1019" s="22" t="str">
        <f>IF(L1019="","None",L1019)</f>
        <v>FREESHIP</v>
      </c>
    </row>
    <row r="1020" spans="1:18" x14ac:dyDescent="0.2">
      <c r="A1020" s="22" t="s">
        <v>3751</v>
      </c>
      <c r="B1020" s="23">
        <v>45115</v>
      </c>
      <c r="C1020" s="22" t="s">
        <v>3752</v>
      </c>
      <c r="D1020" s="22" t="s">
        <v>63</v>
      </c>
      <c r="E1020" s="22">
        <v>3</v>
      </c>
      <c r="F1020" s="24">
        <v>182.48</v>
      </c>
      <c r="G1020" s="22" t="s">
        <v>3753</v>
      </c>
      <c r="H1020" s="22" t="s">
        <v>75</v>
      </c>
      <c r="I1020" s="22" t="s">
        <v>69</v>
      </c>
      <c r="J1020" s="22" t="s">
        <v>3754</v>
      </c>
      <c r="K1020" s="22">
        <v>3</v>
      </c>
      <c r="L1020" s="22"/>
      <c r="M1020" s="22" t="s">
        <v>89</v>
      </c>
      <c r="N1020" s="24">
        <v>547.44000000000005</v>
      </c>
      <c r="O1020" s="22">
        <f>YEAR(B1020)</f>
        <v>2023</v>
      </c>
      <c r="P1020" s="25">
        <f>DATE(YEAR(B1020),MONTH(B1020),1)</f>
        <v>45108</v>
      </c>
      <c r="Q1020" s="22" t="str">
        <f>IF(N1020&gt;Summary!$C$17,"Outlier","")</f>
        <v/>
      </c>
      <c r="R1020" s="22" t="str">
        <f>IF(L1020="","None",L1020)</f>
        <v>None</v>
      </c>
    </row>
    <row r="1021" spans="1:18" x14ac:dyDescent="0.2">
      <c r="A1021" s="22" t="s">
        <v>3755</v>
      </c>
      <c r="B1021" s="23">
        <v>45388</v>
      </c>
      <c r="C1021" s="22" t="s">
        <v>3756</v>
      </c>
      <c r="D1021" s="22" t="s">
        <v>66</v>
      </c>
      <c r="E1021" s="22">
        <v>1</v>
      </c>
      <c r="F1021" s="24">
        <v>277.08999999999997</v>
      </c>
      <c r="G1021" s="22" t="s">
        <v>1423</v>
      </c>
      <c r="H1021" s="22" t="s">
        <v>75</v>
      </c>
      <c r="I1021" s="22" t="s">
        <v>72</v>
      </c>
      <c r="J1021" s="22" t="s">
        <v>3757</v>
      </c>
      <c r="K1021" s="22">
        <v>2</v>
      </c>
      <c r="L1021" s="22" t="s">
        <v>83</v>
      </c>
      <c r="M1021" s="22" t="s">
        <v>90</v>
      </c>
      <c r="N1021" s="24">
        <v>277.08999999999997</v>
      </c>
      <c r="O1021" s="22">
        <f>YEAR(B1021)</f>
        <v>2024</v>
      </c>
      <c r="P1021" s="25">
        <f>DATE(YEAR(B1021),MONTH(B1021),1)</f>
        <v>45383</v>
      </c>
      <c r="Q1021" s="22" t="str">
        <f>IF(N1021&gt;Summary!$C$17,"Outlier","")</f>
        <v/>
      </c>
      <c r="R1021" s="22" t="str">
        <f>IF(L1021="","None",L1021)</f>
        <v>SAVE10</v>
      </c>
    </row>
    <row r="1022" spans="1:18" x14ac:dyDescent="0.2">
      <c r="A1022" s="22" t="s">
        <v>3758</v>
      </c>
      <c r="B1022" s="23">
        <v>45404</v>
      </c>
      <c r="C1022" s="22" t="s">
        <v>3759</v>
      </c>
      <c r="D1022" s="22" t="s">
        <v>64</v>
      </c>
      <c r="E1022" s="22">
        <v>2</v>
      </c>
      <c r="F1022" s="24">
        <v>26.5</v>
      </c>
      <c r="G1022" s="22" t="s">
        <v>1506</v>
      </c>
      <c r="H1022" s="22" t="s">
        <v>79</v>
      </c>
      <c r="I1022" s="22" t="s">
        <v>69</v>
      </c>
      <c r="J1022" s="22" t="s">
        <v>3760</v>
      </c>
      <c r="K1022" s="22">
        <v>3</v>
      </c>
      <c r="L1022" s="22" t="s">
        <v>83</v>
      </c>
      <c r="M1022" s="22" t="s">
        <v>89</v>
      </c>
      <c r="N1022" s="24">
        <v>53</v>
      </c>
      <c r="O1022" s="22">
        <f>YEAR(B1022)</f>
        <v>2024</v>
      </c>
      <c r="P1022" s="25">
        <f>DATE(YEAR(B1022),MONTH(B1022),1)</f>
        <v>45383</v>
      </c>
      <c r="Q1022" s="22" t="str">
        <f>IF(N1022&gt;Summary!$C$17,"Outlier","")</f>
        <v/>
      </c>
      <c r="R1022" s="22" t="str">
        <f>IF(L1022="","None",L1022)</f>
        <v>SAVE10</v>
      </c>
    </row>
    <row r="1023" spans="1:18" x14ac:dyDescent="0.2">
      <c r="A1023" s="22" t="s">
        <v>3761</v>
      </c>
      <c r="B1023" s="23">
        <v>45222</v>
      </c>
      <c r="C1023" s="22" t="s">
        <v>3762</v>
      </c>
      <c r="D1023" s="22" t="s">
        <v>67</v>
      </c>
      <c r="E1023" s="22">
        <v>3</v>
      </c>
      <c r="F1023" s="24">
        <v>315.27</v>
      </c>
      <c r="G1023" s="22" t="s">
        <v>3264</v>
      </c>
      <c r="H1023" s="22" t="s">
        <v>76</v>
      </c>
      <c r="I1023" s="22" t="s">
        <v>73</v>
      </c>
      <c r="J1023" s="22" t="s">
        <v>3763</v>
      </c>
      <c r="K1023" s="22">
        <v>4</v>
      </c>
      <c r="L1023" s="22" t="s">
        <v>83</v>
      </c>
      <c r="M1023" s="22" t="s">
        <v>86</v>
      </c>
      <c r="N1023" s="24">
        <v>945.81</v>
      </c>
      <c r="O1023" s="22">
        <f>YEAR(B1023)</f>
        <v>2023</v>
      </c>
      <c r="P1023" s="25">
        <f>DATE(YEAR(B1023),MONTH(B1023),1)</f>
        <v>45200</v>
      </c>
      <c r="Q1023" s="22" t="str">
        <f>IF(N1023&gt;Summary!$C$17,"Outlier","")</f>
        <v/>
      </c>
      <c r="R1023" s="22" t="str">
        <f>IF(L1023="","None",L1023)</f>
        <v>SAVE10</v>
      </c>
    </row>
    <row r="1024" spans="1:18" x14ac:dyDescent="0.2">
      <c r="A1024" s="22" t="s">
        <v>3764</v>
      </c>
      <c r="B1024" s="23">
        <v>45712</v>
      </c>
      <c r="C1024" s="22" t="s">
        <v>3765</v>
      </c>
      <c r="D1024" s="22" t="s">
        <v>64</v>
      </c>
      <c r="E1024" s="22">
        <v>3</v>
      </c>
      <c r="F1024" s="24">
        <v>450.98</v>
      </c>
      <c r="G1024" s="22" t="s">
        <v>2652</v>
      </c>
      <c r="H1024" s="22" t="s">
        <v>76</v>
      </c>
      <c r="I1024" s="22" t="s">
        <v>70</v>
      </c>
      <c r="J1024" s="22" t="s">
        <v>3766</v>
      </c>
      <c r="K1024" s="22">
        <v>8</v>
      </c>
      <c r="L1024" s="22" t="s">
        <v>83</v>
      </c>
      <c r="M1024" s="22" t="s">
        <v>90</v>
      </c>
      <c r="N1024" s="24">
        <v>1352.94</v>
      </c>
      <c r="O1024" s="22">
        <f>YEAR(B1024)</f>
        <v>2025</v>
      </c>
      <c r="P1024" s="25">
        <f>DATE(YEAR(B1024),MONTH(B1024),1)</f>
        <v>45689</v>
      </c>
      <c r="Q1024" s="22" t="str">
        <f>IF(N1024&gt;Summary!$C$17,"Outlier","")</f>
        <v/>
      </c>
      <c r="R1024" s="22" t="str">
        <f>IF(L1024="","None",L1024)</f>
        <v>SAVE10</v>
      </c>
    </row>
    <row r="1025" spans="1:18" x14ac:dyDescent="0.2">
      <c r="A1025" s="22" t="s">
        <v>3767</v>
      </c>
      <c r="B1025" s="23">
        <v>45558</v>
      </c>
      <c r="C1025" s="22" t="s">
        <v>3768</v>
      </c>
      <c r="D1025" s="22" t="s">
        <v>63</v>
      </c>
      <c r="E1025" s="22">
        <v>5</v>
      </c>
      <c r="F1025" s="24">
        <v>233.67</v>
      </c>
      <c r="G1025" s="22" t="s">
        <v>469</v>
      </c>
      <c r="H1025" s="22" t="s">
        <v>75</v>
      </c>
      <c r="I1025" s="22" t="s">
        <v>70</v>
      </c>
      <c r="J1025" s="22" t="s">
        <v>3769</v>
      </c>
      <c r="K1025" s="22">
        <v>10</v>
      </c>
      <c r="L1025" s="22"/>
      <c r="M1025" s="22" t="s">
        <v>90</v>
      </c>
      <c r="N1025" s="24">
        <v>1168.3499999999999</v>
      </c>
      <c r="O1025" s="22">
        <f>YEAR(B1025)</f>
        <v>2024</v>
      </c>
      <c r="P1025" s="25">
        <f>DATE(YEAR(B1025),MONTH(B1025),1)</f>
        <v>45536</v>
      </c>
      <c r="Q1025" s="22" t="str">
        <f>IF(N1025&gt;Summary!$C$17,"Outlier","")</f>
        <v/>
      </c>
      <c r="R1025" s="22" t="str">
        <f>IF(L1025="","None",L1025)</f>
        <v>None</v>
      </c>
    </row>
    <row r="1026" spans="1:18" x14ac:dyDescent="0.2">
      <c r="A1026" s="22" t="s">
        <v>3770</v>
      </c>
      <c r="B1026" s="23">
        <v>45320</v>
      </c>
      <c r="C1026" s="22" t="s">
        <v>3771</v>
      </c>
      <c r="D1026" s="22" t="s">
        <v>61</v>
      </c>
      <c r="E1026" s="22">
        <v>3</v>
      </c>
      <c r="F1026" s="24">
        <v>367.75</v>
      </c>
      <c r="G1026" s="22" t="s">
        <v>1861</v>
      </c>
      <c r="H1026" s="22" t="s">
        <v>75</v>
      </c>
      <c r="I1026" s="22" t="s">
        <v>71</v>
      </c>
      <c r="J1026" s="22" t="s">
        <v>3772</v>
      </c>
      <c r="K1026" s="22">
        <v>7</v>
      </c>
      <c r="L1026" s="22" t="s">
        <v>82</v>
      </c>
      <c r="M1026" s="22" t="s">
        <v>87</v>
      </c>
      <c r="N1026" s="24">
        <v>1103.25</v>
      </c>
      <c r="O1026" s="22">
        <f>YEAR(B1026)</f>
        <v>2024</v>
      </c>
      <c r="P1026" s="25">
        <f>DATE(YEAR(B1026),MONTH(B1026),1)</f>
        <v>45292</v>
      </c>
      <c r="Q1026" s="22" t="str">
        <f>IF(N1026&gt;Summary!$C$17,"Outlier","")</f>
        <v/>
      </c>
      <c r="R1026" s="22" t="str">
        <f>IF(L1026="","None",L1026)</f>
        <v>FREESHIP</v>
      </c>
    </row>
    <row r="1027" spans="1:18" x14ac:dyDescent="0.2">
      <c r="A1027" s="22" t="s">
        <v>3773</v>
      </c>
      <c r="B1027" s="23">
        <v>45794</v>
      </c>
      <c r="C1027" s="22" t="s">
        <v>3774</v>
      </c>
      <c r="D1027" s="22" t="s">
        <v>61</v>
      </c>
      <c r="E1027" s="22">
        <v>1</v>
      </c>
      <c r="F1027" s="24">
        <v>23.53</v>
      </c>
      <c r="G1027" s="22" t="s">
        <v>703</v>
      </c>
      <c r="H1027" s="22" t="s">
        <v>78</v>
      </c>
      <c r="I1027" s="22" t="s">
        <v>69</v>
      </c>
      <c r="J1027" s="22" t="s">
        <v>3775</v>
      </c>
      <c r="K1027" s="22">
        <v>2</v>
      </c>
      <c r="L1027" s="22" t="s">
        <v>82</v>
      </c>
      <c r="M1027" s="22" t="s">
        <v>89</v>
      </c>
      <c r="N1027" s="24">
        <v>23.53</v>
      </c>
      <c r="O1027" s="22">
        <f>YEAR(B1027)</f>
        <v>2025</v>
      </c>
      <c r="P1027" s="25">
        <f>DATE(YEAR(B1027),MONTH(B1027),1)</f>
        <v>45778</v>
      </c>
      <c r="Q1027" s="22" t="str">
        <f>IF(N1027&gt;Summary!$C$17,"Outlier","")</f>
        <v/>
      </c>
      <c r="R1027" s="22" t="str">
        <f>IF(L1027="","None",L1027)</f>
        <v>FREESHIP</v>
      </c>
    </row>
    <row r="1028" spans="1:18" x14ac:dyDescent="0.2">
      <c r="A1028" s="22" t="s">
        <v>3776</v>
      </c>
      <c r="B1028" s="23">
        <v>45047</v>
      </c>
      <c r="C1028" s="22" t="s">
        <v>3777</v>
      </c>
      <c r="D1028" s="22" t="s">
        <v>65</v>
      </c>
      <c r="E1028" s="22">
        <v>1</v>
      </c>
      <c r="F1028" s="24">
        <v>677.48</v>
      </c>
      <c r="G1028" s="22" t="s">
        <v>583</v>
      </c>
      <c r="H1028" s="22" t="s">
        <v>79</v>
      </c>
      <c r="I1028" s="22" t="s">
        <v>69</v>
      </c>
      <c r="J1028" s="22" t="s">
        <v>3778</v>
      </c>
      <c r="K1028" s="22">
        <v>1</v>
      </c>
      <c r="L1028" s="22" t="s">
        <v>84</v>
      </c>
      <c r="M1028" s="22" t="s">
        <v>87</v>
      </c>
      <c r="N1028" s="24">
        <v>677.48</v>
      </c>
      <c r="O1028" s="22">
        <f>YEAR(B1028)</f>
        <v>2023</v>
      </c>
      <c r="P1028" s="25">
        <f>DATE(YEAR(B1028),MONTH(B1028),1)</f>
        <v>45047</v>
      </c>
      <c r="Q1028" s="22" t="str">
        <f>IF(N1028&gt;Summary!$C$17,"Outlier","")</f>
        <v/>
      </c>
      <c r="R1028" s="22" t="str">
        <f>IF(L1028="","None",L1028)</f>
        <v>WINTER15</v>
      </c>
    </row>
    <row r="1029" spans="1:18" x14ac:dyDescent="0.2">
      <c r="A1029" s="22" t="s">
        <v>3779</v>
      </c>
      <c r="B1029" s="23">
        <v>45433</v>
      </c>
      <c r="C1029" s="22" t="s">
        <v>3780</v>
      </c>
      <c r="D1029" s="22" t="s">
        <v>63</v>
      </c>
      <c r="E1029" s="22">
        <v>4</v>
      </c>
      <c r="F1029" s="24">
        <v>554.83000000000004</v>
      </c>
      <c r="G1029" s="22" t="s">
        <v>2871</v>
      </c>
      <c r="H1029" s="22" t="s">
        <v>75</v>
      </c>
      <c r="I1029" s="22" t="s">
        <v>72</v>
      </c>
      <c r="J1029" s="22" t="s">
        <v>3781</v>
      </c>
      <c r="K1029" s="22">
        <v>6</v>
      </c>
      <c r="L1029" s="22"/>
      <c r="M1029" s="22" t="s">
        <v>88</v>
      </c>
      <c r="N1029" s="24">
        <v>2219.3200000000002</v>
      </c>
      <c r="O1029" s="22">
        <f>YEAR(B1029)</f>
        <v>2024</v>
      </c>
      <c r="P1029" s="25">
        <f>DATE(YEAR(B1029),MONTH(B1029),1)</f>
        <v>45413</v>
      </c>
      <c r="Q1029" s="22" t="str">
        <f>IF(N1029&gt;Summary!$C$17,"Outlier","")</f>
        <v/>
      </c>
      <c r="R1029" s="22" t="str">
        <f>IF(L1029="","None",L1029)</f>
        <v>None</v>
      </c>
    </row>
    <row r="1030" spans="1:18" x14ac:dyDescent="0.2">
      <c r="A1030" s="22" t="s">
        <v>3782</v>
      </c>
      <c r="B1030" s="23">
        <v>44974</v>
      </c>
      <c r="C1030" s="22" t="s">
        <v>3783</v>
      </c>
      <c r="D1030" s="22" t="s">
        <v>66</v>
      </c>
      <c r="E1030" s="22">
        <v>4</v>
      </c>
      <c r="F1030" s="24">
        <v>440.31</v>
      </c>
      <c r="G1030" s="22" t="s">
        <v>1014</v>
      </c>
      <c r="H1030" s="22" t="s">
        <v>75</v>
      </c>
      <c r="I1030" s="22" t="s">
        <v>73</v>
      </c>
      <c r="J1030" s="22" t="s">
        <v>3784</v>
      </c>
      <c r="K1030" s="22">
        <v>6</v>
      </c>
      <c r="L1030" s="22"/>
      <c r="M1030" s="22" t="s">
        <v>89</v>
      </c>
      <c r="N1030" s="24">
        <v>1761.24</v>
      </c>
      <c r="O1030" s="22">
        <f>YEAR(B1030)</f>
        <v>2023</v>
      </c>
      <c r="P1030" s="25">
        <f>DATE(YEAR(B1030),MONTH(B1030),1)</f>
        <v>44958</v>
      </c>
      <c r="Q1030" s="22" t="str">
        <f>IF(N1030&gt;Summary!$C$17,"Outlier","")</f>
        <v/>
      </c>
      <c r="R1030" s="22" t="str">
        <f>IF(L1030="","None",L1030)</f>
        <v>None</v>
      </c>
    </row>
    <row r="1031" spans="1:18" x14ac:dyDescent="0.2">
      <c r="A1031" s="22" t="s">
        <v>3785</v>
      </c>
      <c r="B1031" s="23">
        <v>45717</v>
      </c>
      <c r="C1031" s="22" t="s">
        <v>3786</v>
      </c>
      <c r="D1031" s="22" t="s">
        <v>66</v>
      </c>
      <c r="E1031" s="22">
        <v>1</v>
      </c>
      <c r="F1031" s="24">
        <v>87.06</v>
      </c>
      <c r="G1031" s="22" t="s">
        <v>3555</v>
      </c>
      <c r="H1031" s="22" t="s">
        <v>76</v>
      </c>
      <c r="I1031" s="22" t="s">
        <v>70</v>
      </c>
      <c r="J1031" s="22" t="s">
        <v>3787</v>
      </c>
      <c r="K1031" s="22">
        <v>4</v>
      </c>
      <c r="L1031" s="22" t="s">
        <v>82</v>
      </c>
      <c r="M1031" s="22" t="s">
        <v>86</v>
      </c>
      <c r="N1031" s="24">
        <v>87.06</v>
      </c>
      <c r="O1031" s="22">
        <f>YEAR(B1031)</f>
        <v>2025</v>
      </c>
      <c r="P1031" s="25">
        <f>DATE(YEAR(B1031),MONTH(B1031),1)</f>
        <v>45717</v>
      </c>
      <c r="Q1031" s="22" t="str">
        <f>IF(N1031&gt;Summary!$C$17,"Outlier","")</f>
        <v/>
      </c>
      <c r="R1031" s="22" t="str">
        <f>IF(L1031="","None",L1031)</f>
        <v>FREESHIP</v>
      </c>
    </row>
    <row r="1032" spans="1:18" x14ac:dyDescent="0.2">
      <c r="A1032" s="22" t="s">
        <v>3788</v>
      </c>
      <c r="B1032" s="23">
        <v>45201</v>
      </c>
      <c r="C1032" s="22" t="s">
        <v>3789</v>
      </c>
      <c r="D1032" s="22" t="s">
        <v>67</v>
      </c>
      <c r="E1032" s="22">
        <v>4</v>
      </c>
      <c r="F1032" s="24">
        <v>245.28</v>
      </c>
      <c r="G1032" s="22" t="s">
        <v>3790</v>
      </c>
      <c r="H1032" s="22" t="s">
        <v>76</v>
      </c>
      <c r="I1032" s="22" t="s">
        <v>69</v>
      </c>
      <c r="J1032" s="22" t="s">
        <v>3791</v>
      </c>
      <c r="K1032" s="22">
        <v>6</v>
      </c>
      <c r="L1032" s="22" t="s">
        <v>84</v>
      </c>
      <c r="M1032" s="22" t="s">
        <v>86</v>
      </c>
      <c r="N1032" s="24">
        <v>981.12</v>
      </c>
      <c r="O1032" s="22">
        <f>YEAR(B1032)</f>
        <v>2023</v>
      </c>
      <c r="P1032" s="25">
        <f>DATE(YEAR(B1032),MONTH(B1032),1)</f>
        <v>45200</v>
      </c>
      <c r="Q1032" s="22" t="str">
        <f>IF(N1032&gt;Summary!$C$17,"Outlier","")</f>
        <v/>
      </c>
      <c r="R1032" s="22" t="str">
        <f>IF(L1032="","None",L1032)</f>
        <v>WINTER15</v>
      </c>
    </row>
    <row r="1033" spans="1:18" x14ac:dyDescent="0.2">
      <c r="A1033" s="22" t="s">
        <v>3792</v>
      </c>
      <c r="B1033" s="23">
        <v>44985</v>
      </c>
      <c r="C1033" s="22" t="s">
        <v>3793</v>
      </c>
      <c r="D1033" s="22" t="s">
        <v>67</v>
      </c>
      <c r="E1033" s="22">
        <v>5</v>
      </c>
      <c r="F1033" s="24">
        <v>664.51</v>
      </c>
      <c r="G1033" s="22" t="s">
        <v>3794</v>
      </c>
      <c r="H1033" s="22" t="s">
        <v>77</v>
      </c>
      <c r="I1033" s="22" t="s">
        <v>71</v>
      </c>
      <c r="J1033" s="22" t="s">
        <v>3795</v>
      </c>
      <c r="K1033" s="22">
        <v>8</v>
      </c>
      <c r="L1033" s="22" t="s">
        <v>83</v>
      </c>
      <c r="M1033" s="22" t="s">
        <v>86</v>
      </c>
      <c r="N1033" s="24">
        <v>3322.55</v>
      </c>
      <c r="O1033" s="22">
        <f>YEAR(B1033)</f>
        <v>2023</v>
      </c>
      <c r="P1033" s="25">
        <f>DATE(YEAR(B1033),MONTH(B1033),1)</f>
        <v>44958</v>
      </c>
      <c r="Q1033" s="22" t="str">
        <f>IF(N1033&gt;Summary!$C$17,"Outlier","")</f>
        <v/>
      </c>
      <c r="R1033" s="22" t="str">
        <f>IF(L1033="","None",L1033)</f>
        <v>SAVE10</v>
      </c>
    </row>
    <row r="1034" spans="1:18" x14ac:dyDescent="0.2">
      <c r="A1034" s="22" t="s">
        <v>3796</v>
      </c>
      <c r="B1034" s="23">
        <v>45036</v>
      </c>
      <c r="C1034" s="22" t="s">
        <v>3797</v>
      </c>
      <c r="D1034" s="22" t="s">
        <v>61</v>
      </c>
      <c r="E1034" s="22">
        <v>1</v>
      </c>
      <c r="F1034" s="24">
        <v>618.67999999999995</v>
      </c>
      <c r="G1034" s="22" t="s">
        <v>1210</v>
      </c>
      <c r="H1034" s="22" t="s">
        <v>79</v>
      </c>
      <c r="I1034" s="22" t="s">
        <v>69</v>
      </c>
      <c r="J1034" s="22" t="s">
        <v>3798</v>
      </c>
      <c r="K1034" s="22">
        <v>6</v>
      </c>
      <c r="L1034" s="22" t="s">
        <v>84</v>
      </c>
      <c r="M1034" s="22" t="s">
        <v>90</v>
      </c>
      <c r="N1034" s="24">
        <v>618.67999999999995</v>
      </c>
      <c r="O1034" s="22">
        <f>YEAR(B1034)</f>
        <v>2023</v>
      </c>
      <c r="P1034" s="25">
        <f>DATE(YEAR(B1034),MONTH(B1034),1)</f>
        <v>45017</v>
      </c>
      <c r="Q1034" s="22" t="str">
        <f>IF(N1034&gt;Summary!$C$17,"Outlier","")</f>
        <v/>
      </c>
      <c r="R1034" s="22" t="str">
        <f>IF(L1034="","None",L1034)</f>
        <v>WINTER15</v>
      </c>
    </row>
    <row r="1035" spans="1:18" x14ac:dyDescent="0.2">
      <c r="A1035" s="22" t="s">
        <v>3799</v>
      </c>
      <c r="B1035" s="23">
        <v>45650</v>
      </c>
      <c r="C1035" s="22" t="s">
        <v>3800</v>
      </c>
      <c r="D1035" s="22" t="s">
        <v>65</v>
      </c>
      <c r="E1035" s="22">
        <v>1</v>
      </c>
      <c r="F1035" s="24">
        <v>370.85</v>
      </c>
      <c r="G1035" s="22" t="s">
        <v>3801</v>
      </c>
      <c r="H1035" s="22" t="s">
        <v>78</v>
      </c>
      <c r="I1035" s="22" t="s">
        <v>69</v>
      </c>
      <c r="J1035" s="22" t="s">
        <v>3802</v>
      </c>
      <c r="K1035" s="22">
        <v>2</v>
      </c>
      <c r="L1035" s="22" t="s">
        <v>82</v>
      </c>
      <c r="M1035" s="22" t="s">
        <v>90</v>
      </c>
      <c r="N1035" s="24">
        <v>370.85</v>
      </c>
      <c r="O1035" s="22">
        <f>YEAR(B1035)</f>
        <v>2024</v>
      </c>
      <c r="P1035" s="25">
        <f>DATE(YEAR(B1035),MONTH(B1035),1)</f>
        <v>45627</v>
      </c>
      <c r="Q1035" s="22" t="str">
        <f>IF(N1035&gt;Summary!$C$17,"Outlier","")</f>
        <v/>
      </c>
      <c r="R1035" s="22" t="str">
        <f>IF(L1035="","None",L1035)</f>
        <v>FREESHIP</v>
      </c>
    </row>
    <row r="1036" spans="1:18" x14ac:dyDescent="0.2">
      <c r="A1036" s="22" t="s">
        <v>3803</v>
      </c>
      <c r="B1036" s="23">
        <v>45459</v>
      </c>
      <c r="C1036" s="22" t="s">
        <v>3804</v>
      </c>
      <c r="D1036" s="22" t="s">
        <v>62</v>
      </c>
      <c r="E1036" s="22">
        <v>4</v>
      </c>
      <c r="F1036" s="24">
        <v>517.98</v>
      </c>
      <c r="G1036" s="22" t="s">
        <v>3805</v>
      </c>
      <c r="H1036" s="22" t="s">
        <v>75</v>
      </c>
      <c r="I1036" s="22" t="s">
        <v>73</v>
      </c>
      <c r="J1036" s="22" t="s">
        <v>3806</v>
      </c>
      <c r="K1036" s="22">
        <v>8</v>
      </c>
      <c r="L1036" s="22" t="s">
        <v>82</v>
      </c>
      <c r="M1036" s="22" t="s">
        <v>87</v>
      </c>
      <c r="N1036" s="24">
        <v>2071.92</v>
      </c>
      <c r="O1036" s="22">
        <f>YEAR(B1036)</f>
        <v>2024</v>
      </c>
      <c r="P1036" s="25">
        <f>DATE(YEAR(B1036),MONTH(B1036),1)</f>
        <v>45444</v>
      </c>
      <c r="Q1036" s="22" t="str">
        <f>IF(N1036&gt;Summary!$C$17,"Outlier","")</f>
        <v/>
      </c>
      <c r="R1036" s="22" t="str">
        <f>IF(L1036="","None",L1036)</f>
        <v>FREESHIP</v>
      </c>
    </row>
    <row r="1037" spans="1:18" x14ac:dyDescent="0.2">
      <c r="A1037" s="22" t="s">
        <v>3807</v>
      </c>
      <c r="B1037" s="23">
        <v>45242</v>
      </c>
      <c r="C1037" s="22" t="s">
        <v>3808</v>
      </c>
      <c r="D1037" s="22" t="s">
        <v>63</v>
      </c>
      <c r="E1037" s="22">
        <v>4</v>
      </c>
      <c r="F1037" s="24">
        <v>506.11</v>
      </c>
      <c r="G1037" s="22" t="s">
        <v>3809</v>
      </c>
      <c r="H1037" s="22" t="s">
        <v>75</v>
      </c>
      <c r="I1037" s="22" t="s">
        <v>73</v>
      </c>
      <c r="J1037" s="22" t="s">
        <v>3810</v>
      </c>
      <c r="K1037" s="22">
        <v>5</v>
      </c>
      <c r="L1037" s="22"/>
      <c r="M1037" s="22" t="s">
        <v>90</v>
      </c>
      <c r="N1037" s="24">
        <v>2024.44</v>
      </c>
      <c r="O1037" s="22">
        <f>YEAR(B1037)</f>
        <v>2023</v>
      </c>
      <c r="P1037" s="25">
        <f>DATE(YEAR(B1037),MONTH(B1037),1)</f>
        <v>45231</v>
      </c>
      <c r="Q1037" s="22" t="str">
        <f>IF(N1037&gt;Summary!$C$17,"Outlier","")</f>
        <v/>
      </c>
      <c r="R1037" s="22" t="str">
        <f>IF(L1037="","None",L1037)</f>
        <v>None</v>
      </c>
    </row>
    <row r="1038" spans="1:18" x14ac:dyDescent="0.2">
      <c r="A1038" s="22" t="s">
        <v>3811</v>
      </c>
      <c r="B1038" s="23">
        <v>45443</v>
      </c>
      <c r="C1038" s="22" t="s">
        <v>3812</v>
      </c>
      <c r="D1038" s="22" t="s">
        <v>67</v>
      </c>
      <c r="E1038" s="22">
        <v>3</v>
      </c>
      <c r="F1038" s="24">
        <v>413.83</v>
      </c>
      <c r="G1038" s="22" t="s">
        <v>390</v>
      </c>
      <c r="H1038" s="22" t="s">
        <v>78</v>
      </c>
      <c r="I1038" s="22" t="s">
        <v>70</v>
      </c>
      <c r="J1038" s="22" t="s">
        <v>3813</v>
      </c>
      <c r="K1038" s="22">
        <v>8</v>
      </c>
      <c r="L1038" s="22" t="s">
        <v>83</v>
      </c>
      <c r="M1038" s="22" t="s">
        <v>87</v>
      </c>
      <c r="N1038" s="24">
        <v>1241.49</v>
      </c>
      <c r="O1038" s="22">
        <f>YEAR(B1038)</f>
        <v>2024</v>
      </c>
      <c r="P1038" s="25">
        <f>DATE(YEAR(B1038),MONTH(B1038),1)</f>
        <v>45413</v>
      </c>
      <c r="Q1038" s="22" t="str">
        <f>IF(N1038&gt;Summary!$C$17,"Outlier","")</f>
        <v/>
      </c>
      <c r="R1038" s="22" t="str">
        <f>IF(L1038="","None",L1038)</f>
        <v>SAVE10</v>
      </c>
    </row>
    <row r="1039" spans="1:18" x14ac:dyDescent="0.2">
      <c r="A1039" s="22" t="s">
        <v>3814</v>
      </c>
      <c r="B1039" s="23">
        <v>45273</v>
      </c>
      <c r="C1039" s="22" t="s">
        <v>3815</v>
      </c>
      <c r="D1039" s="22" t="s">
        <v>62</v>
      </c>
      <c r="E1039" s="22">
        <v>1</v>
      </c>
      <c r="F1039" s="24">
        <v>249.81</v>
      </c>
      <c r="G1039" s="22" t="s">
        <v>2638</v>
      </c>
      <c r="H1039" s="22" t="s">
        <v>75</v>
      </c>
      <c r="I1039" s="22" t="s">
        <v>71</v>
      </c>
      <c r="J1039" s="22" t="s">
        <v>3816</v>
      </c>
      <c r="K1039" s="22">
        <v>1</v>
      </c>
      <c r="L1039" s="22" t="s">
        <v>83</v>
      </c>
      <c r="M1039" s="22" t="s">
        <v>88</v>
      </c>
      <c r="N1039" s="24">
        <v>249.81</v>
      </c>
      <c r="O1039" s="22">
        <f>YEAR(B1039)</f>
        <v>2023</v>
      </c>
      <c r="P1039" s="25">
        <f>DATE(YEAR(B1039),MONTH(B1039),1)</f>
        <v>45261</v>
      </c>
      <c r="Q1039" s="22" t="str">
        <f>IF(N1039&gt;Summary!$C$17,"Outlier","")</f>
        <v/>
      </c>
      <c r="R1039" s="22" t="str">
        <f>IF(L1039="","None",L1039)</f>
        <v>SAVE10</v>
      </c>
    </row>
    <row r="1040" spans="1:18" x14ac:dyDescent="0.2">
      <c r="A1040" s="22" t="s">
        <v>3817</v>
      </c>
      <c r="B1040" s="23">
        <v>45731</v>
      </c>
      <c r="C1040" s="22" t="s">
        <v>3818</v>
      </c>
      <c r="D1040" s="22" t="s">
        <v>64</v>
      </c>
      <c r="E1040" s="22">
        <v>3</v>
      </c>
      <c r="F1040" s="24">
        <v>362.53</v>
      </c>
      <c r="G1040" s="22" t="s">
        <v>3819</v>
      </c>
      <c r="H1040" s="22" t="s">
        <v>77</v>
      </c>
      <c r="I1040" s="22" t="s">
        <v>72</v>
      </c>
      <c r="J1040" s="22" t="s">
        <v>3820</v>
      </c>
      <c r="K1040" s="22">
        <v>5</v>
      </c>
      <c r="L1040" s="22"/>
      <c r="M1040" s="22" t="s">
        <v>87</v>
      </c>
      <c r="N1040" s="24">
        <v>1087.5899999999999</v>
      </c>
      <c r="O1040" s="22">
        <f>YEAR(B1040)</f>
        <v>2025</v>
      </c>
      <c r="P1040" s="25">
        <f>DATE(YEAR(B1040),MONTH(B1040),1)</f>
        <v>45717</v>
      </c>
      <c r="Q1040" s="22" t="str">
        <f>IF(N1040&gt;Summary!$C$17,"Outlier","")</f>
        <v/>
      </c>
      <c r="R1040" s="22" t="str">
        <f>IF(L1040="","None",L1040)</f>
        <v>None</v>
      </c>
    </row>
    <row r="1041" spans="1:18" x14ac:dyDescent="0.2">
      <c r="A1041" s="22" t="s">
        <v>3821</v>
      </c>
      <c r="B1041" s="23">
        <v>45836</v>
      </c>
      <c r="C1041" s="22" t="s">
        <v>3822</v>
      </c>
      <c r="D1041" s="22" t="s">
        <v>66</v>
      </c>
      <c r="E1041" s="22">
        <v>2</v>
      </c>
      <c r="F1041" s="24">
        <v>299.23</v>
      </c>
      <c r="G1041" s="22" t="s">
        <v>3823</v>
      </c>
      <c r="H1041" s="22" t="s">
        <v>76</v>
      </c>
      <c r="I1041" s="22" t="s">
        <v>73</v>
      </c>
      <c r="J1041" s="22" t="s">
        <v>3824</v>
      </c>
      <c r="K1041" s="22">
        <v>2</v>
      </c>
      <c r="L1041" s="22" t="s">
        <v>84</v>
      </c>
      <c r="M1041" s="22" t="s">
        <v>89</v>
      </c>
      <c r="N1041" s="24">
        <v>598.46</v>
      </c>
      <c r="O1041" s="22">
        <f>YEAR(B1041)</f>
        <v>2025</v>
      </c>
      <c r="P1041" s="25">
        <f>DATE(YEAR(B1041),MONTH(B1041),1)</f>
        <v>45809</v>
      </c>
      <c r="Q1041" s="22" t="str">
        <f>IF(N1041&gt;Summary!$C$17,"Outlier","")</f>
        <v/>
      </c>
      <c r="R1041" s="22" t="str">
        <f>IF(L1041="","None",L1041)</f>
        <v>WINTER15</v>
      </c>
    </row>
    <row r="1042" spans="1:18" x14ac:dyDescent="0.2">
      <c r="A1042" s="22" t="s">
        <v>3825</v>
      </c>
      <c r="B1042" s="23">
        <v>45245</v>
      </c>
      <c r="C1042" s="22" t="s">
        <v>3826</v>
      </c>
      <c r="D1042" s="22" t="s">
        <v>64</v>
      </c>
      <c r="E1042" s="22">
        <v>1</v>
      </c>
      <c r="F1042" s="24">
        <v>536.07000000000005</v>
      </c>
      <c r="G1042" s="22" t="s">
        <v>2190</v>
      </c>
      <c r="H1042" s="22" t="s">
        <v>77</v>
      </c>
      <c r="I1042" s="22" t="s">
        <v>69</v>
      </c>
      <c r="J1042" s="22" t="s">
        <v>3827</v>
      </c>
      <c r="K1042" s="22">
        <v>5</v>
      </c>
      <c r="L1042" s="22" t="s">
        <v>82</v>
      </c>
      <c r="M1042" s="22" t="s">
        <v>88</v>
      </c>
      <c r="N1042" s="24">
        <v>536.07000000000005</v>
      </c>
      <c r="O1042" s="22">
        <f>YEAR(B1042)</f>
        <v>2023</v>
      </c>
      <c r="P1042" s="25">
        <f>DATE(YEAR(B1042),MONTH(B1042),1)</f>
        <v>45231</v>
      </c>
      <c r="Q1042" s="22" t="str">
        <f>IF(N1042&gt;Summary!$C$17,"Outlier","")</f>
        <v/>
      </c>
      <c r="R1042" s="22" t="str">
        <f>IF(L1042="","None",L1042)</f>
        <v>FREESHIP</v>
      </c>
    </row>
    <row r="1043" spans="1:18" x14ac:dyDescent="0.2">
      <c r="A1043" s="22" t="s">
        <v>3828</v>
      </c>
      <c r="B1043" s="23">
        <v>44968</v>
      </c>
      <c r="C1043" s="22" t="s">
        <v>3829</v>
      </c>
      <c r="D1043" s="22" t="s">
        <v>65</v>
      </c>
      <c r="E1043" s="22">
        <v>4</v>
      </c>
      <c r="F1043" s="24">
        <v>558.9</v>
      </c>
      <c r="G1043" s="22" t="s">
        <v>1006</v>
      </c>
      <c r="H1043" s="22" t="s">
        <v>78</v>
      </c>
      <c r="I1043" s="22" t="s">
        <v>70</v>
      </c>
      <c r="J1043" s="22" t="s">
        <v>3830</v>
      </c>
      <c r="K1043" s="22">
        <v>9</v>
      </c>
      <c r="L1043" s="22" t="s">
        <v>84</v>
      </c>
      <c r="M1043" s="22" t="s">
        <v>88</v>
      </c>
      <c r="N1043" s="24">
        <v>2235.6</v>
      </c>
      <c r="O1043" s="22">
        <f>YEAR(B1043)</f>
        <v>2023</v>
      </c>
      <c r="P1043" s="25">
        <f>DATE(YEAR(B1043),MONTH(B1043),1)</f>
        <v>44958</v>
      </c>
      <c r="Q1043" s="22" t="str">
        <f>IF(N1043&gt;Summary!$C$17,"Outlier","")</f>
        <v/>
      </c>
      <c r="R1043" s="22" t="str">
        <f>IF(L1043="","None",L1043)</f>
        <v>WINTER15</v>
      </c>
    </row>
    <row r="1044" spans="1:18" x14ac:dyDescent="0.2">
      <c r="A1044" s="22" t="s">
        <v>3831</v>
      </c>
      <c r="B1044" s="23">
        <v>45635</v>
      </c>
      <c r="C1044" s="22" t="s">
        <v>3832</v>
      </c>
      <c r="D1044" s="22" t="s">
        <v>64</v>
      </c>
      <c r="E1044" s="22">
        <v>2</v>
      </c>
      <c r="F1044" s="24">
        <v>409.75</v>
      </c>
      <c r="G1044" s="22" t="s">
        <v>1358</v>
      </c>
      <c r="H1044" s="22" t="s">
        <v>77</v>
      </c>
      <c r="I1044" s="22" t="s">
        <v>70</v>
      </c>
      <c r="J1044" s="22" t="s">
        <v>3833</v>
      </c>
      <c r="K1044" s="22">
        <v>2</v>
      </c>
      <c r="L1044" s="22" t="s">
        <v>84</v>
      </c>
      <c r="M1044" s="22" t="s">
        <v>87</v>
      </c>
      <c r="N1044" s="24">
        <v>819.5</v>
      </c>
      <c r="O1044" s="22">
        <f>YEAR(B1044)</f>
        <v>2024</v>
      </c>
      <c r="P1044" s="25">
        <f>DATE(YEAR(B1044),MONTH(B1044),1)</f>
        <v>45627</v>
      </c>
      <c r="Q1044" s="22" t="str">
        <f>IF(N1044&gt;Summary!$C$17,"Outlier","")</f>
        <v/>
      </c>
      <c r="R1044" s="22" t="str">
        <f>IF(L1044="","None",L1044)</f>
        <v>WINTER15</v>
      </c>
    </row>
    <row r="1045" spans="1:18" x14ac:dyDescent="0.2">
      <c r="A1045" s="22" t="s">
        <v>3834</v>
      </c>
      <c r="B1045" s="23">
        <v>45668</v>
      </c>
      <c r="C1045" s="22" t="s">
        <v>3835</v>
      </c>
      <c r="D1045" s="22" t="s">
        <v>64</v>
      </c>
      <c r="E1045" s="22">
        <v>2</v>
      </c>
      <c r="F1045" s="24">
        <v>179.96</v>
      </c>
      <c r="G1045" s="22" t="s">
        <v>3594</v>
      </c>
      <c r="H1045" s="22" t="s">
        <v>78</v>
      </c>
      <c r="I1045" s="22" t="s">
        <v>70</v>
      </c>
      <c r="J1045" s="22" t="s">
        <v>3836</v>
      </c>
      <c r="K1045" s="22">
        <v>5</v>
      </c>
      <c r="L1045" s="22"/>
      <c r="M1045" s="22" t="s">
        <v>89</v>
      </c>
      <c r="N1045" s="24">
        <v>359.92</v>
      </c>
      <c r="O1045" s="22">
        <f>YEAR(B1045)</f>
        <v>2025</v>
      </c>
      <c r="P1045" s="25">
        <f>DATE(YEAR(B1045),MONTH(B1045),1)</f>
        <v>45658</v>
      </c>
      <c r="Q1045" s="22" t="str">
        <f>IF(N1045&gt;Summary!$C$17,"Outlier","")</f>
        <v/>
      </c>
      <c r="R1045" s="22" t="str">
        <f>IF(L1045="","None",L1045)</f>
        <v>None</v>
      </c>
    </row>
    <row r="1046" spans="1:18" x14ac:dyDescent="0.2">
      <c r="A1046" s="22" t="s">
        <v>3837</v>
      </c>
      <c r="B1046" s="23">
        <v>45830</v>
      </c>
      <c r="C1046" s="22" t="s">
        <v>3838</v>
      </c>
      <c r="D1046" s="22" t="s">
        <v>62</v>
      </c>
      <c r="E1046" s="22">
        <v>1</v>
      </c>
      <c r="F1046" s="24">
        <v>38.49</v>
      </c>
      <c r="G1046" s="22" t="s">
        <v>3839</v>
      </c>
      <c r="H1046" s="22" t="s">
        <v>76</v>
      </c>
      <c r="I1046" s="22" t="s">
        <v>69</v>
      </c>
      <c r="J1046" s="22" t="s">
        <v>3840</v>
      </c>
      <c r="K1046" s="22">
        <v>4</v>
      </c>
      <c r="L1046" s="22" t="s">
        <v>82</v>
      </c>
      <c r="M1046" s="22" t="s">
        <v>90</v>
      </c>
      <c r="N1046" s="24">
        <v>38.49</v>
      </c>
      <c r="O1046" s="22">
        <f>YEAR(B1046)</f>
        <v>2025</v>
      </c>
      <c r="P1046" s="25">
        <f>DATE(YEAR(B1046),MONTH(B1046),1)</f>
        <v>45809</v>
      </c>
      <c r="Q1046" s="22" t="str">
        <f>IF(N1046&gt;Summary!$C$17,"Outlier","")</f>
        <v/>
      </c>
      <c r="R1046" s="22" t="str">
        <f>IF(L1046="","None",L1046)</f>
        <v>FREESHIP</v>
      </c>
    </row>
    <row r="1047" spans="1:18" x14ac:dyDescent="0.2">
      <c r="A1047" s="22" t="s">
        <v>3841</v>
      </c>
      <c r="B1047" s="23">
        <v>45555</v>
      </c>
      <c r="C1047" s="22" t="s">
        <v>3842</v>
      </c>
      <c r="D1047" s="22" t="s">
        <v>63</v>
      </c>
      <c r="E1047" s="22">
        <v>5</v>
      </c>
      <c r="F1047" s="24">
        <v>316.39999999999998</v>
      </c>
      <c r="G1047" s="22" t="s">
        <v>3843</v>
      </c>
      <c r="H1047" s="22" t="s">
        <v>78</v>
      </c>
      <c r="I1047" s="22" t="s">
        <v>72</v>
      </c>
      <c r="J1047" s="22" t="s">
        <v>3844</v>
      </c>
      <c r="K1047" s="22">
        <v>7</v>
      </c>
      <c r="L1047" s="22"/>
      <c r="M1047" s="22" t="s">
        <v>86</v>
      </c>
      <c r="N1047" s="24">
        <v>1582</v>
      </c>
      <c r="O1047" s="22">
        <f>YEAR(B1047)</f>
        <v>2024</v>
      </c>
      <c r="P1047" s="25">
        <f>DATE(YEAR(B1047),MONTH(B1047),1)</f>
        <v>45536</v>
      </c>
      <c r="Q1047" s="22" t="str">
        <f>IF(N1047&gt;Summary!$C$17,"Outlier","")</f>
        <v/>
      </c>
      <c r="R1047" s="22" t="str">
        <f>IF(L1047="","None",L1047)</f>
        <v>None</v>
      </c>
    </row>
    <row r="1048" spans="1:18" x14ac:dyDescent="0.2">
      <c r="A1048" s="22" t="s">
        <v>3845</v>
      </c>
      <c r="B1048" s="23">
        <v>45572</v>
      </c>
      <c r="C1048" s="22" t="s">
        <v>3846</v>
      </c>
      <c r="D1048" s="22" t="s">
        <v>64</v>
      </c>
      <c r="E1048" s="22">
        <v>3</v>
      </c>
      <c r="F1048" s="24">
        <v>547.15</v>
      </c>
      <c r="G1048" s="22" t="s">
        <v>3847</v>
      </c>
      <c r="H1048" s="22" t="s">
        <v>79</v>
      </c>
      <c r="I1048" s="22" t="s">
        <v>70</v>
      </c>
      <c r="J1048" s="22" t="s">
        <v>3848</v>
      </c>
      <c r="K1048" s="22">
        <v>4</v>
      </c>
      <c r="L1048" s="22" t="s">
        <v>84</v>
      </c>
      <c r="M1048" s="22" t="s">
        <v>89</v>
      </c>
      <c r="N1048" s="24">
        <v>1641.45</v>
      </c>
      <c r="O1048" s="22">
        <f>YEAR(B1048)</f>
        <v>2024</v>
      </c>
      <c r="P1048" s="25">
        <f>DATE(YEAR(B1048),MONTH(B1048),1)</f>
        <v>45566</v>
      </c>
      <c r="Q1048" s="22" t="str">
        <f>IF(N1048&gt;Summary!$C$17,"Outlier","")</f>
        <v/>
      </c>
      <c r="R1048" s="22" t="str">
        <f>IF(L1048="","None",L1048)</f>
        <v>WINTER15</v>
      </c>
    </row>
    <row r="1049" spans="1:18" x14ac:dyDescent="0.2">
      <c r="A1049" s="22" t="s">
        <v>3849</v>
      </c>
      <c r="B1049" s="23">
        <v>45100</v>
      </c>
      <c r="C1049" s="22" t="s">
        <v>3850</v>
      </c>
      <c r="D1049" s="22" t="s">
        <v>61</v>
      </c>
      <c r="E1049" s="22">
        <v>4</v>
      </c>
      <c r="F1049" s="24">
        <v>540.34</v>
      </c>
      <c r="G1049" s="22" t="s">
        <v>3851</v>
      </c>
      <c r="H1049" s="22" t="s">
        <v>78</v>
      </c>
      <c r="I1049" s="22" t="s">
        <v>70</v>
      </c>
      <c r="J1049" s="22" t="s">
        <v>3852</v>
      </c>
      <c r="K1049" s="22">
        <v>6</v>
      </c>
      <c r="L1049" s="22" t="s">
        <v>84</v>
      </c>
      <c r="M1049" s="22" t="s">
        <v>90</v>
      </c>
      <c r="N1049" s="24">
        <v>2161.36</v>
      </c>
      <c r="O1049" s="22">
        <f>YEAR(B1049)</f>
        <v>2023</v>
      </c>
      <c r="P1049" s="25">
        <f>DATE(YEAR(B1049),MONTH(B1049),1)</f>
        <v>45078</v>
      </c>
      <c r="Q1049" s="22" t="str">
        <f>IF(N1049&gt;Summary!$C$17,"Outlier","")</f>
        <v/>
      </c>
      <c r="R1049" s="22" t="str">
        <f>IF(L1049="","None",L1049)</f>
        <v>WINTER15</v>
      </c>
    </row>
    <row r="1050" spans="1:18" x14ac:dyDescent="0.2">
      <c r="A1050" s="22" t="s">
        <v>3853</v>
      </c>
      <c r="B1050" s="23">
        <v>45544</v>
      </c>
      <c r="C1050" s="22" t="s">
        <v>3854</v>
      </c>
      <c r="D1050" s="22" t="s">
        <v>65</v>
      </c>
      <c r="E1050" s="22">
        <v>4</v>
      </c>
      <c r="F1050" s="24">
        <v>73.650000000000006</v>
      </c>
      <c r="G1050" s="22" t="s">
        <v>3855</v>
      </c>
      <c r="H1050" s="22" t="s">
        <v>77</v>
      </c>
      <c r="I1050" s="22" t="s">
        <v>70</v>
      </c>
      <c r="J1050" s="22" t="s">
        <v>3856</v>
      </c>
      <c r="K1050" s="22">
        <v>9</v>
      </c>
      <c r="L1050" s="22"/>
      <c r="M1050" s="22" t="s">
        <v>88</v>
      </c>
      <c r="N1050" s="24">
        <v>294.60000000000002</v>
      </c>
      <c r="O1050" s="22">
        <f>YEAR(B1050)</f>
        <v>2024</v>
      </c>
      <c r="P1050" s="25">
        <f>DATE(YEAR(B1050),MONTH(B1050),1)</f>
        <v>45536</v>
      </c>
      <c r="Q1050" s="22" t="str">
        <f>IF(N1050&gt;Summary!$C$17,"Outlier","")</f>
        <v/>
      </c>
      <c r="R1050" s="22" t="str">
        <f>IF(L1050="","None",L1050)</f>
        <v>None</v>
      </c>
    </row>
    <row r="1051" spans="1:18" x14ac:dyDescent="0.2">
      <c r="A1051" s="22" t="s">
        <v>3857</v>
      </c>
      <c r="B1051" s="23">
        <v>45491</v>
      </c>
      <c r="C1051" s="22" t="s">
        <v>3858</v>
      </c>
      <c r="D1051" s="22" t="s">
        <v>66</v>
      </c>
      <c r="E1051" s="22">
        <v>5</v>
      </c>
      <c r="F1051" s="24">
        <v>391.86</v>
      </c>
      <c r="G1051" s="22" t="s">
        <v>199</v>
      </c>
      <c r="H1051" s="22" t="s">
        <v>76</v>
      </c>
      <c r="I1051" s="22" t="s">
        <v>70</v>
      </c>
      <c r="J1051" s="22" t="s">
        <v>3859</v>
      </c>
      <c r="K1051" s="22">
        <v>6</v>
      </c>
      <c r="L1051" s="22"/>
      <c r="M1051" s="22" t="s">
        <v>89</v>
      </c>
      <c r="N1051" s="24">
        <v>1959.3</v>
      </c>
      <c r="O1051" s="22">
        <f>YEAR(B1051)</f>
        <v>2024</v>
      </c>
      <c r="P1051" s="25">
        <f>DATE(YEAR(B1051),MONTH(B1051),1)</f>
        <v>45474</v>
      </c>
      <c r="Q1051" s="22" t="str">
        <f>IF(N1051&gt;Summary!$C$17,"Outlier","")</f>
        <v/>
      </c>
      <c r="R1051" s="22" t="str">
        <f>IF(L1051="","None",L1051)</f>
        <v>None</v>
      </c>
    </row>
    <row r="1052" spans="1:18" x14ac:dyDescent="0.2">
      <c r="A1052" s="22" t="s">
        <v>3860</v>
      </c>
      <c r="B1052" s="23">
        <v>45158</v>
      </c>
      <c r="C1052" s="22" t="s">
        <v>3861</v>
      </c>
      <c r="D1052" s="22" t="s">
        <v>63</v>
      </c>
      <c r="E1052" s="22">
        <v>5</v>
      </c>
      <c r="F1052" s="24">
        <v>69.7</v>
      </c>
      <c r="G1052" s="22" t="s">
        <v>2103</v>
      </c>
      <c r="H1052" s="22" t="s">
        <v>79</v>
      </c>
      <c r="I1052" s="22" t="s">
        <v>72</v>
      </c>
      <c r="J1052" s="22" t="s">
        <v>3862</v>
      </c>
      <c r="K1052" s="22">
        <v>9</v>
      </c>
      <c r="L1052" s="22"/>
      <c r="M1052" s="22" t="s">
        <v>89</v>
      </c>
      <c r="N1052" s="24">
        <v>348.5</v>
      </c>
      <c r="O1052" s="22">
        <f>YEAR(B1052)</f>
        <v>2023</v>
      </c>
      <c r="P1052" s="25">
        <f>DATE(YEAR(B1052),MONTH(B1052),1)</f>
        <v>45139</v>
      </c>
      <c r="Q1052" s="22" t="str">
        <f>IF(N1052&gt;Summary!$C$17,"Outlier","")</f>
        <v/>
      </c>
      <c r="R1052" s="22" t="str">
        <f>IF(L1052="","None",L1052)</f>
        <v>None</v>
      </c>
    </row>
    <row r="1053" spans="1:18" x14ac:dyDescent="0.2">
      <c r="A1053" s="22" t="s">
        <v>3863</v>
      </c>
      <c r="B1053" s="23">
        <v>45721</v>
      </c>
      <c r="C1053" s="22" t="s">
        <v>3864</v>
      </c>
      <c r="D1053" s="22" t="s">
        <v>65</v>
      </c>
      <c r="E1053" s="22">
        <v>5</v>
      </c>
      <c r="F1053" s="24">
        <v>26.43</v>
      </c>
      <c r="G1053" s="22" t="s">
        <v>3865</v>
      </c>
      <c r="H1053" s="22" t="s">
        <v>78</v>
      </c>
      <c r="I1053" s="22" t="s">
        <v>70</v>
      </c>
      <c r="J1053" s="22" t="s">
        <v>3866</v>
      </c>
      <c r="K1053" s="22">
        <v>5</v>
      </c>
      <c r="L1053" s="22" t="s">
        <v>82</v>
      </c>
      <c r="M1053" s="22" t="s">
        <v>87</v>
      </c>
      <c r="N1053" s="24">
        <v>132.15</v>
      </c>
      <c r="O1053" s="22">
        <f>YEAR(B1053)</f>
        <v>2025</v>
      </c>
      <c r="P1053" s="25">
        <f>DATE(YEAR(B1053),MONTH(B1053),1)</f>
        <v>45717</v>
      </c>
      <c r="Q1053" s="22" t="str">
        <f>IF(N1053&gt;Summary!$C$17,"Outlier","")</f>
        <v/>
      </c>
      <c r="R1053" s="22" t="str">
        <f>IF(L1053="","None",L1053)</f>
        <v>FREESHIP</v>
      </c>
    </row>
    <row r="1054" spans="1:18" x14ac:dyDescent="0.2">
      <c r="A1054" s="22" t="s">
        <v>3867</v>
      </c>
      <c r="B1054" s="23">
        <v>45180</v>
      </c>
      <c r="C1054" s="22" t="s">
        <v>3868</v>
      </c>
      <c r="D1054" s="22" t="s">
        <v>64</v>
      </c>
      <c r="E1054" s="22">
        <v>1</v>
      </c>
      <c r="F1054" s="24">
        <v>531.74</v>
      </c>
      <c r="G1054" s="22" t="s">
        <v>3869</v>
      </c>
      <c r="H1054" s="22" t="s">
        <v>79</v>
      </c>
      <c r="I1054" s="22" t="s">
        <v>70</v>
      </c>
      <c r="J1054" s="22" t="s">
        <v>3870</v>
      </c>
      <c r="K1054" s="22">
        <v>1</v>
      </c>
      <c r="L1054" s="22" t="s">
        <v>84</v>
      </c>
      <c r="M1054" s="22" t="s">
        <v>88</v>
      </c>
      <c r="N1054" s="24">
        <v>531.74</v>
      </c>
      <c r="O1054" s="22">
        <f>YEAR(B1054)</f>
        <v>2023</v>
      </c>
      <c r="P1054" s="25">
        <f>DATE(YEAR(B1054),MONTH(B1054),1)</f>
        <v>45170</v>
      </c>
      <c r="Q1054" s="22" t="str">
        <f>IF(N1054&gt;Summary!$C$17,"Outlier","")</f>
        <v/>
      </c>
      <c r="R1054" s="22" t="str">
        <f>IF(L1054="","None",L1054)</f>
        <v>WINTER15</v>
      </c>
    </row>
    <row r="1055" spans="1:18" x14ac:dyDescent="0.2">
      <c r="A1055" s="22" t="s">
        <v>3871</v>
      </c>
      <c r="B1055" s="23">
        <v>45550</v>
      </c>
      <c r="C1055" s="22" t="s">
        <v>3872</v>
      </c>
      <c r="D1055" s="22" t="s">
        <v>67</v>
      </c>
      <c r="E1055" s="22">
        <v>2</v>
      </c>
      <c r="F1055" s="24">
        <v>496.62</v>
      </c>
      <c r="G1055" s="22" t="s">
        <v>3503</v>
      </c>
      <c r="H1055" s="22" t="s">
        <v>79</v>
      </c>
      <c r="I1055" s="22" t="s">
        <v>71</v>
      </c>
      <c r="J1055" s="22" t="s">
        <v>3873</v>
      </c>
      <c r="K1055" s="22">
        <v>2</v>
      </c>
      <c r="L1055" s="22" t="s">
        <v>83</v>
      </c>
      <c r="M1055" s="22" t="s">
        <v>89</v>
      </c>
      <c r="N1055" s="24">
        <v>993.24</v>
      </c>
      <c r="O1055" s="22">
        <f>YEAR(B1055)</f>
        <v>2024</v>
      </c>
      <c r="P1055" s="25">
        <f>DATE(YEAR(B1055),MONTH(B1055),1)</f>
        <v>45536</v>
      </c>
      <c r="Q1055" s="22" t="str">
        <f>IF(N1055&gt;Summary!$C$17,"Outlier","")</f>
        <v/>
      </c>
      <c r="R1055" s="22" t="str">
        <f>IF(L1055="","None",L1055)</f>
        <v>SAVE10</v>
      </c>
    </row>
    <row r="1056" spans="1:18" x14ac:dyDescent="0.2">
      <c r="A1056" s="22" t="s">
        <v>3874</v>
      </c>
      <c r="B1056" s="23">
        <v>45259</v>
      </c>
      <c r="C1056" s="22" t="s">
        <v>3875</v>
      </c>
      <c r="D1056" s="22" t="s">
        <v>62</v>
      </c>
      <c r="E1056" s="22">
        <v>1</v>
      </c>
      <c r="F1056" s="24">
        <v>660.66</v>
      </c>
      <c r="G1056" s="22" t="s">
        <v>457</v>
      </c>
      <c r="H1056" s="22" t="s">
        <v>77</v>
      </c>
      <c r="I1056" s="22" t="s">
        <v>69</v>
      </c>
      <c r="J1056" s="22" t="s">
        <v>3876</v>
      </c>
      <c r="K1056" s="22">
        <v>3</v>
      </c>
      <c r="L1056" s="22" t="s">
        <v>84</v>
      </c>
      <c r="M1056" s="22" t="s">
        <v>89</v>
      </c>
      <c r="N1056" s="24">
        <v>660.66</v>
      </c>
      <c r="O1056" s="22">
        <f>YEAR(B1056)</f>
        <v>2023</v>
      </c>
      <c r="P1056" s="25">
        <f>DATE(YEAR(B1056),MONTH(B1056),1)</f>
        <v>45231</v>
      </c>
      <c r="Q1056" s="22" t="str">
        <f>IF(N1056&gt;Summary!$C$17,"Outlier","")</f>
        <v/>
      </c>
      <c r="R1056" s="22" t="str">
        <f>IF(L1056="","None",L1056)</f>
        <v>WINTER15</v>
      </c>
    </row>
    <row r="1057" spans="1:18" x14ac:dyDescent="0.2">
      <c r="A1057" s="22" t="s">
        <v>3877</v>
      </c>
      <c r="B1057" s="23">
        <v>45222</v>
      </c>
      <c r="C1057" s="22" t="s">
        <v>3878</v>
      </c>
      <c r="D1057" s="22" t="s">
        <v>65</v>
      </c>
      <c r="E1057" s="22">
        <v>4</v>
      </c>
      <c r="F1057" s="24">
        <v>274.82</v>
      </c>
      <c r="G1057" s="22" t="s">
        <v>2190</v>
      </c>
      <c r="H1057" s="22" t="s">
        <v>77</v>
      </c>
      <c r="I1057" s="22" t="s">
        <v>69</v>
      </c>
      <c r="J1057" s="22" t="s">
        <v>3879</v>
      </c>
      <c r="K1057" s="22">
        <v>9</v>
      </c>
      <c r="L1057" s="22" t="s">
        <v>84</v>
      </c>
      <c r="M1057" s="22" t="s">
        <v>86</v>
      </c>
      <c r="N1057" s="24">
        <v>1099.28</v>
      </c>
      <c r="O1057" s="22">
        <f>YEAR(B1057)</f>
        <v>2023</v>
      </c>
      <c r="P1057" s="25">
        <f>DATE(YEAR(B1057),MONTH(B1057),1)</f>
        <v>45200</v>
      </c>
      <c r="Q1057" s="22" t="str">
        <f>IF(N1057&gt;Summary!$C$17,"Outlier","")</f>
        <v/>
      </c>
      <c r="R1057" s="22" t="str">
        <f>IF(L1057="","None",L1057)</f>
        <v>WINTER15</v>
      </c>
    </row>
    <row r="1058" spans="1:18" x14ac:dyDescent="0.2">
      <c r="A1058" s="22" t="s">
        <v>3880</v>
      </c>
      <c r="B1058" s="23">
        <v>45457</v>
      </c>
      <c r="C1058" s="22" t="s">
        <v>3881</v>
      </c>
      <c r="D1058" s="22" t="s">
        <v>67</v>
      </c>
      <c r="E1058" s="22">
        <v>2</v>
      </c>
      <c r="F1058" s="24">
        <v>486.35</v>
      </c>
      <c r="G1058" s="22" t="s">
        <v>796</v>
      </c>
      <c r="H1058" s="22" t="s">
        <v>79</v>
      </c>
      <c r="I1058" s="22" t="s">
        <v>71</v>
      </c>
      <c r="J1058" s="22" t="s">
        <v>3882</v>
      </c>
      <c r="K1058" s="22">
        <v>6</v>
      </c>
      <c r="L1058" s="22" t="s">
        <v>83</v>
      </c>
      <c r="M1058" s="22" t="s">
        <v>90</v>
      </c>
      <c r="N1058" s="24">
        <v>972.7</v>
      </c>
      <c r="O1058" s="22">
        <f>YEAR(B1058)</f>
        <v>2024</v>
      </c>
      <c r="P1058" s="25">
        <f>DATE(YEAR(B1058),MONTH(B1058),1)</f>
        <v>45444</v>
      </c>
      <c r="Q1058" s="22" t="str">
        <f>IF(N1058&gt;Summary!$C$17,"Outlier","")</f>
        <v/>
      </c>
      <c r="R1058" s="22" t="str">
        <f>IF(L1058="","None",L1058)</f>
        <v>SAVE10</v>
      </c>
    </row>
    <row r="1059" spans="1:18" x14ac:dyDescent="0.2">
      <c r="A1059" s="22" t="s">
        <v>3883</v>
      </c>
      <c r="B1059" s="23">
        <v>45559</v>
      </c>
      <c r="C1059" s="22" t="s">
        <v>3884</v>
      </c>
      <c r="D1059" s="22" t="s">
        <v>63</v>
      </c>
      <c r="E1059" s="22">
        <v>3</v>
      </c>
      <c r="F1059" s="24">
        <v>428.88</v>
      </c>
      <c r="G1059" s="22" t="s">
        <v>781</v>
      </c>
      <c r="H1059" s="22" t="s">
        <v>77</v>
      </c>
      <c r="I1059" s="22" t="s">
        <v>70</v>
      </c>
      <c r="J1059" s="22" t="s">
        <v>3885</v>
      </c>
      <c r="K1059" s="22">
        <v>3</v>
      </c>
      <c r="L1059" s="22" t="s">
        <v>84</v>
      </c>
      <c r="M1059" s="22" t="s">
        <v>87</v>
      </c>
      <c r="N1059" s="24">
        <v>1286.6400000000001</v>
      </c>
      <c r="O1059" s="22">
        <f>YEAR(B1059)</f>
        <v>2024</v>
      </c>
      <c r="P1059" s="25">
        <f>DATE(YEAR(B1059),MONTH(B1059),1)</f>
        <v>45536</v>
      </c>
      <c r="Q1059" s="22" t="str">
        <f>IF(N1059&gt;Summary!$C$17,"Outlier","")</f>
        <v/>
      </c>
      <c r="R1059" s="22" t="str">
        <f>IF(L1059="","None",L1059)</f>
        <v>WINTER15</v>
      </c>
    </row>
    <row r="1060" spans="1:18" x14ac:dyDescent="0.2">
      <c r="A1060" s="22" t="s">
        <v>3886</v>
      </c>
      <c r="B1060" s="23">
        <v>45177</v>
      </c>
      <c r="C1060" s="22" t="s">
        <v>3887</v>
      </c>
      <c r="D1060" s="22" t="s">
        <v>66</v>
      </c>
      <c r="E1060" s="22">
        <v>2</v>
      </c>
      <c r="F1060" s="24">
        <v>412.14</v>
      </c>
      <c r="G1060" s="22" t="s">
        <v>1158</v>
      </c>
      <c r="H1060" s="22" t="s">
        <v>76</v>
      </c>
      <c r="I1060" s="22" t="s">
        <v>72</v>
      </c>
      <c r="J1060" s="22" t="s">
        <v>3888</v>
      </c>
      <c r="K1060" s="22">
        <v>2</v>
      </c>
      <c r="L1060" s="22" t="s">
        <v>82</v>
      </c>
      <c r="M1060" s="22" t="s">
        <v>89</v>
      </c>
      <c r="N1060" s="24">
        <v>824.28</v>
      </c>
      <c r="O1060" s="22">
        <f>YEAR(B1060)</f>
        <v>2023</v>
      </c>
      <c r="P1060" s="25">
        <f>DATE(YEAR(B1060),MONTH(B1060),1)</f>
        <v>45170</v>
      </c>
      <c r="Q1060" s="22" t="str">
        <f>IF(N1060&gt;Summary!$C$17,"Outlier","")</f>
        <v/>
      </c>
      <c r="R1060" s="22" t="str">
        <f>IF(L1060="","None",L1060)</f>
        <v>FREESHIP</v>
      </c>
    </row>
    <row r="1061" spans="1:18" x14ac:dyDescent="0.2">
      <c r="A1061" s="22" t="s">
        <v>3889</v>
      </c>
      <c r="B1061" s="23">
        <v>45557</v>
      </c>
      <c r="C1061" s="22" t="s">
        <v>3890</v>
      </c>
      <c r="D1061" s="22" t="s">
        <v>66</v>
      </c>
      <c r="E1061" s="22">
        <v>1</v>
      </c>
      <c r="F1061" s="24">
        <v>265.64</v>
      </c>
      <c r="G1061" s="22" t="s">
        <v>3891</v>
      </c>
      <c r="H1061" s="22" t="s">
        <v>76</v>
      </c>
      <c r="I1061" s="22" t="s">
        <v>72</v>
      </c>
      <c r="J1061" s="22" t="s">
        <v>3892</v>
      </c>
      <c r="K1061" s="22">
        <v>3</v>
      </c>
      <c r="L1061" s="22" t="s">
        <v>84</v>
      </c>
      <c r="M1061" s="22" t="s">
        <v>89</v>
      </c>
      <c r="N1061" s="24">
        <v>265.64</v>
      </c>
      <c r="O1061" s="22">
        <f>YEAR(B1061)</f>
        <v>2024</v>
      </c>
      <c r="P1061" s="25">
        <f>DATE(YEAR(B1061),MONTH(B1061),1)</f>
        <v>45536</v>
      </c>
      <c r="Q1061" s="22" t="str">
        <f>IF(N1061&gt;Summary!$C$17,"Outlier","")</f>
        <v/>
      </c>
      <c r="R1061" s="22" t="str">
        <f>IF(L1061="","None",L1061)</f>
        <v>WINTER15</v>
      </c>
    </row>
    <row r="1062" spans="1:18" x14ac:dyDescent="0.2">
      <c r="A1062" s="22" t="s">
        <v>3893</v>
      </c>
      <c r="B1062" s="23">
        <v>45419</v>
      </c>
      <c r="C1062" s="22" t="s">
        <v>3894</v>
      </c>
      <c r="D1062" s="22" t="s">
        <v>64</v>
      </c>
      <c r="E1062" s="22">
        <v>2</v>
      </c>
      <c r="F1062" s="24">
        <v>273.43</v>
      </c>
      <c r="G1062" s="22" t="s">
        <v>1455</v>
      </c>
      <c r="H1062" s="22" t="s">
        <v>75</v>
      </c>
      <c r="I1062" s="22" t="s">
        <v>70</v>
      </c>
      <c r="J1062" s="22" t="s">
        <v>3895</v>
      </c>
      <c r="K1062" s="22">
        <v>7</v>
      </c>
      <c r="L1062" s="22" t="s">
        <v>84</v>
      </c>
      <c r="M1062" s="22" t="s">
        <v>90</v>
      </c>
      <c r="N1062" s="24">
        <v>546.86</v>
      </c>
      <c r="O1062" s="22">
        <f>YEAR(B1062)</f>
        <v>2024</v>
      </c>
      <c r="P1062" s="25">
        <f>DATE(YEAR(B1062),MONTH(B1062),1)</f>
        <v>45413</v>
      </c>
      <c r="Q1062" s="22" t="str">
        <f>IF(N1062&gt;Summary!$C$17,"Outlier","")</f>
        <v/>
      </c>
      <c r="R1062" s="22" t="str">
        <f>IF(L1062="","None",L1062)</f>
        <v>WINTER15</v>
      </c>
    </row>
    <row r="1063" spans="1:18" x14ac:dyDescent="0.2">
      <c r="A1063" s="22" t="s">
        <v>3896</v>
      </c>
      <c r="B1063" s="23">
        <v>45686</v>
      </c>
      <c r="C1063" s="22" t="s">
        <v>3897</v>
      </c>
      <c r="D1063" s="22" t="s">
        <v>63</v>
      </c>
      <c r="E1063" s="22">
        <v>5</v>
      </c>
      <c r="F1063" s="24">
        <v>131.69999999999999</v>
      </c>
      <c r="G1063" s="22" t="s">
        <v>247</v>
      </c>
      <c r="H1063" s="22" t="s">
        <v>75</v>
      </c>
      <c r="I1063" s="22" t="s">
        <v>70</v>
      </c>
      <c r="J1063" s="22" t="s">
        <v>3898</v>
      </c>
      <c r="K1063" s="22">
        <v>8</v>
      </c>
      <c r="L1063" s="22" t="s">
        <v>82</v>
      </c>
      <c r="M1063" s="22" t="s">
        <v>88</v>
      </c>
      <c r="N1063" s="24">
        <v>658.5</v>
      </c>
      <c r="O1063" s="22">
        <f>YEAR(B1063)</f>
        <v>2025</v>
      </c>
      <c r="P1063" s="25">
        <f>DATE(YEAR(B1063),MONTH(B1063),1)</f>
        <v>45658</v>
      </c>
      <c r="Q1063" s="22" t="str">
        <f>IF(N1063&gt;Summary!$C$17,"Outlier","")</f>
        <v/>
      </c>
      <c r="R1063" s="22" t="str">
        <f>IF(L1063="","None",L1063)</f>
        <v>FREESHIP</v>
      </c>
    </row>
    <row r="1064" spans="1:18" x14ac:dyDescent="0.2">
      <c r="A1064" s="22" t="s">
        <v>3899</v>
      </c>
      <c r="B1064" s="23">
        <v>45161</v>
      </c>
      <c r="C1064" s="22" t="s">
        <v>3900</v>
      </c>
      <c r="D1064" s="22" t="s">
        <v>61</v>
      </c>
      <c r="E1064" s="22">
        <v>5</v>
      </c>
      <c r="F1064" s="24">
        <v>85.52</v>
      </c>
      <c r="G1064" s="22" t="s">
        <v>1329</v>
      </c>
      <c r="H1064" s="22" t="s">
        <v>78</v>
      </c>
      <c r="I1064" s="22" t="s">
        <v>73</v>
      </c>
      <c r="J1064" s="22" t="s">
        <v>3901</v>
      </c>
      <c r="K1064" s="22">
        <v>5</v>
      </c>
      <c r="L1064" s="22"/>
      <c r="M1064" s="22" t="s">
        <v>87</v>
      </c>
      <c r="N1064" s="24">
        <v>427.6</v>
      </c>
      <c r="O1064" s="22">
        <f>YEAR(B1064)</f>
        <v>2023</v>
      </c>
      <c r="P1064" s="25">
        <f>DATE(YEAR(B1064),MONTH(B1064),1)</f>
        <v>45139</v>
      </c>
      <c r="Q1064" s="22" t="str">
        <f>IF(N1064&gt;Summary!$C$17,"Outlier","")</f>
        <v/>
      </c>
      <c r="R1064" s="22" t="str">
        <f>IF(L1064="","None",L1064)</f>
        <v>None</v>
      </c>
    </row>
    <row r="1065" spans="1:18" x14ac:dyDescent="0.2">
      <c r="A1065" s="22" t="s">
        <v>3902</v>
      </c>
      <c r="B1065" s="23">
        <v>45462</v>
      </c>
      <c r="C1065" s="22" t="s">
        <v>3903</v>
      </c>
      <c r="D1065" s="22" t="s">
        <v>66</v>
      </c>
      <c r="E1065" s="22">
        <v>2</v>
      </c>
      <c r="F1065" s="24">
        <v>320.68</v>
      </c>
      <c r="G1065" s="22" t="s">
        <v>785</v>
      </c>
      <c r="H1065" s="22" t="s">
        <v>76</v>
      </c>
      <c r="I1065" s="22" t="s">
        <v>70</v>
      </c>
      <c r="J1065" s="22" t="s">
        <v>3904</v>
      </c>
      <c r="K1065" s="22">
        <v>5</v>
      </c>
      <c r="L1065" s="22" t="s">
        <v>82</v>
      </c>
      <c r="M1065" s="22" t="s">
        <v>90</v>
      </c>
      <c r="N1065" s="24">
        <v>641.36</v>
      </c>
      <c r="O1065" s="22">
        <f>YEAR(B1065)</f>
        <v>2024</v>
      </c>
      <c r="P1065" s="25">
        <f>DATE(YEAR(B1065),MONTH(B1065),1)</f>
        <v>45444</v>
      </c>
      <c r="Q1065" s="22" t="str">
        <f>IF(N1065&gt;Summary!$C$17,"Outlier","")</f>
        <v/>
      </c>
      <c r="R1065" s="22" t="str">
        <f>IF(L1065="","None",L1065)</f>
        <v>FREESHIP</v>
      </c>
    </row>
    <row r="1066" spans="1:18" x14ac:dyDescent="0.2">
      <c r="A1066" s="22" t="s">
        <v>3905</v>
      </c>
      <c r="B1066" s="23">
        <v>45700</v>
      </c>
      <c r="C1066" s="22" t="s">
        <v>3906</v>
      </c>
      <c r="D1066" s="22" t="s">
        <v>63</v>
      </c>
      <c r="E1066" s="22">
        <v>4</v>
      </c>
      <c r="F1066" s="24">
        <v>198.81</v>
      </c>
      <c r="G1066" s="22" t="s">
        <v>1182</v>
      </c>
      <c r="H1066" s="22" t="s">
        <v>75</v>
      </c>
      <c r="I1066" s="22" t="s">
        <v>72</v>
      </c>
      <c r="J1066" s="22" t="s">
        <v>3907</v>
      </c>
      <c r="K1066" s="22">
        <v>9</v>
      </c>
      <c r="L1066" s="22" t="s">
        <v>82</v>
      </c>
      <c r="M1066" s="22" t="s">
        <v>90</v>
      </c>
      <c r="N1066" s="24">
        <v>795.24</v>
      </c>
      <c r="O1066" s="22">
        <f>YEAR(B1066)</f>
        <v>2025</v>
      </c>
      <c r="P1066" s="25">
        <f>DATE(YEAR(B1066),MONTH(B1066),1)</f>
        <v>45689</v>
      </c>
      <c r="Q1066" s="22" t="str">
        <f>IF(N1066&gt;Summary!$C$17,"Outlier","")</f>
        <v/>
      </c>
      <c r="R1066" s="22" t="str">
        <f>IF(L1066="","None",L1066)</f>
        <v>FREESHIP</v>
      </c>
    </row>
    <row r="1067" spans="1:18" x14ac:dyDescent="0.2">
      <c r="A1067" s="22" t="s">
        <v>102</v>
      </c>
      <c r="B1067" s="23">
        <v>45229</v>
      </c>
      <c r="C1067" s="22" t="s">
        <v>3908</v>
      </c>
      <c r="D1067" s="22" t="s">
        <v>62</v>
      </c>
      <c r="E1067" s="22">
        <v>5</v>
      </c>
      <c r="F1067" s="24">
        <v>666.8</v>
      </c>
      <c r="G1067" s="22" t="s">
        <v>1727</v>
      </c>
      <c r="H1067" s="22" t="s">
        <v>77</v>
      </c>
      <c r="I1067" s="22" t="s">
        <v>69</v>
      </c>
      <c r="J1067" s="22" t="s">
        <v>3909</v>
      </c>
      <c r="K1067" s="22">
        <v>7</v>
      </c>
      <c r="L1067" s="22" t="s">
        <v>83</v>
      </c>
      <c r="M1067" s="22" t="s">
        <v>90</v>
      </c>
      <c r="N1067" s="24">
        <v>3334</v>
      </c>
      <c r="O1067" s="22">
        <f>YEAR(B1067)</f>
        <v>2023</v>
      </c>
      <c r="P1067" s="25">
        <f>DATE(YEAR(B1067),MONTH(B1067),1)</f>
        <v>45200</v>
      </c>
      <c r="Q1067" s="22" t="str">
        <f>IF(N1067&gt;Summary!$C$17,"Outlier","")</f>
        <v>Outlier</v>
      </c>
      <c r="R1067" s="22" t="str">
        <f>IF(L1067="","None",L1067)</f>
        <v>SAVE10</v>
      </c>
    </row>
    <row r="1068" spans="1:18" x14ac:dyDescent="0.2">
      <c r="A1068" s="22" t="s">
        <v>3910</v>
      </c>
      <c r="B1068" s="23">
        <v>45280</v>
      </c>
      <c r="C1068" s="22" t="s">
        <v>3911</v>
      </c>
      <c r="D1068" s="22" t="s">
        <v>66</v>
      </c>
      <c r="E1068" s="22">
        <v>1</v>
      </c>
      <c r="F1068" s="24">
        <v>355.09</v>
      </c>
      <c r="G1068" s="22" t="s">
        <v>2659</v>
      </c>
      <c r="H1068" s="22" t="s">
        <v>77</v>
      </c>
      <c r="I1068" s="22" t="s">
        <v>73</v>
      </c>
      <c r="J1068" s="22" t="s">
        <v>3912</v>
      </c>
      <c r="K1068" s="22">
        <v>5</v>
      </c>
      <c r="L1068" s="22" t="s">
        <v>83</v>
      </c>
      <c r="M1068" s="22" t="s">
        <v>89</v>
      </c>
      <c r="N1068" s="24">
        <v>355.09</v>
      </c>
      <c r="O1068" s="22">
        <f>YEAR(B1068)</f>
        <v>2023</v>
      </c>
      <c r="P1068" s="25">
        <f>DATE(YEAR(B1068),MONTH(B1068),1)</f>
        <v>45261</v>
      </c>
      <c r="Q1068" s="22" t="str">
        <f>IF(N1068&gt;Summary!$C$17,"Outlier","")</f>
        <v/>
      </c>
      <c r="R1068" s="22" t="str">
        <f>IF(L1068="","None",L1068)</f>
        <v>SAVE10</v>
      </c>
    </row>
    <row r="1069" spans="1:18" x14ac:dyDescent="0.2">
      <c r="A1069" s="22" t="s">
        <v>3913</v>
      </c>
      <c r="B1069" s="23">
        <v>45083</v>
      </c>
      <c r="C1069" s="22" t="s">
        <v>3914</v>
      </c>
      <c r="D1069" s="22" t="s">
        <v>67</v>
      </c>
      <c r="E1069" s="22">
        <v>2</v>
      </c>
      <c r="F1069" s="24">
        <v>316.2</v>
      </c>
      <c r="G1069" s="22" t="s">
        <v>394</v>
      </c>
      <c r="H1069" s="22" t="s">
        <v>79</v>
      </c>
      <c r="I1069" s="22" t="s">
        <v>72</v>
      </c>
      <c r="J1069" s="22" t="s">
        <v>3915</v>
      </c>
      <c r="K1069" s="22">
        <v>2</v>
      </c>
      <c r="L1069" s="22"/>
      <c r="M1069" s="22" t="s">
        <v>89</v>
      </c>
      <c r="N1069" s="24">
        <v>632.4</v>
      </c>
      <c r="O1069" s="22">
        <f>YEAR(B1069)</f>
        <v>2023</v>
      </c>
      <c r="P1069" s="25">
        <f>DATE(YEAR(B1069),MONTH(B1069),1)</f>
        <v>45078</v>
      </c>
      <c r="Q1069" s="22" t="str">
        <f>IF(N1069&gt;Summary!$C$17,"Outlier","")</f>
        <v/>
      </c>
      <c r="R1069" s="22" t="str">
        <f>IF(L1069="","None",L1069)</f>
        <v>None</v>
      </c>
    </row>
    <row r="1070" spans="1:18" x14ac:dyDescent="0.2">
      <c r="A1070" s="22" t="s">
        <v>3916</v>
      </c>
      <c r="B1070" s="23">
        <v>45507</v>
      </c>
      <c r="C1070" s="22" t="s">
        <v>3917</v>
      </c>
      <c r="D1070" s="22" t="s">
        <v>63</v>
      </c>
      <c r="E1070" s="22">
        <v>1</v>
      </c>
      <c r="F1070" s="24">
        <v>133.38999999999999</v>
      </c>
      <c r="G1070" s="22" t="s">
        <v>3918</v>
      </c>
      <c r="H1070" s="22" t="s">
        <v>77</v>
      </c>
      <c r="I1070" s="22" t="s">
        <v>70</v>
      </c>
      <c r="J1070" s="22" t="s">
        <v>3919</v>
      </c>
      <c r="K1070" s="22">
        <v>2</v>
      </c>
      <c r="L1070" s="22" t="s">
        <v>83</v>
      </c>
      <c r="M1070" s="22" t="s">
        <v>90</v>
      </c>
      <c r="N1070" s="24">
        <v>133.38999999999999</v>
      </c>
      <c r="O1070" s="22">
        <f>YEAR(B1070)</f>
        <v>2024</v>
      </c>
      <c r="P1070" s="25">
        <f>DATE(YEAR(B1070),MONTH(B1070),1)</f>
        <v>45505</v>
      </c>
      <c r="Q1070" s="22" t="str">
        <f>IF(N1070&gt;Summary!$C$17,"Outlier","")</f>
        <v/>
      </c>
      <c r="R1070" s="22" t="str">
        <f>IF(L1070="","None",L1070)</f>
        <v>SAVE10</v>
      </c>
    </row>
    <row r="1071" spans="1:18" x14ac:dyDescent="0.2">
      <c r="A1071" s="22" t="s">
        <v>3920</v>
      </c>
      <c r="B1071" s="23">
        <v>44982</v>
      </c>
      <c r="C1071" s="22" t="s">
        <v>3921</v>
      </c>
      <c r="D1071" s="22" t="s">
        <v>65</v>
      </c>
      <c r="E1071" s="22">
        <v>1</v>
      </c>
      <c r="F1071" s="24">
        <v>454.23</v>
      </c>
      <c r="G1071" s="22" t="s">
        <v>1045</v>
      </c>
      <c r="H1071" s="22" t="s">
        <v>78</v>
      </c>
      <c r="I1071" s="22" t="s">
        <v>72</v>
      </c>
      <c r="J1071" s="22" t="s">
        <v>3922</v>
      </c>
      <c r="K1071" s="22">
        <v>3</v>
      </c>
      <c r="L1071" s="22"/>
      <c r="M1071" s="22" t="s">
        <v>87</v>
      </c>
      <c r="N1071" s="24">
        <v>454.23</v>
      </c>
      <c r="O1071" s="22">
        <f>YEAR(B1071)</f>
        <v>2023</v>
      </c>
      <c r="P1071" s="25">
        <f>DATE(YEAR(B1071),MONTH(B1071),1)</f>
        <v>44958</v>
      </c>
      <c r="Q1071" s="22" t="str">
        <f>IF(N1071&gt;Summary!$C$17,"Outlier","")</f>
        <v/>
      </c>
      <c r="R1071" s="22" t="str">
        <f>IF(L1071="","None",L1071)</f>
        <v>None</v>
      </c>
    </row>
    <row r="1072" spans="1:18" x14ac:dyDescent="0.2">
      <c r="A1072" s="22" t="s">
        <v>3923</v>
      </c>
      <c r="B1072" s="23">
        <v>45541</v>
      </c>
      <c r="C1072" s="22" t="s">
        <v>3924</v>
      </c>
      <c r="D1072" s="22" t="s">
        <v>66</v>
      </c>
      <c r="E1072" s="22">
        <v>4</v>
      </c>
      <c r="F1072" s="24">
        <v>491.29</v>
      </c>
      <c r="G1072" s="22" t="s">
        <v>437</v>
      </c>
      <c r="H1072" s="22" t="s">
        <v>77</v>
      </c>
      <c r="I1072" s="22" t="s">
        <v>71</v>
      </c>
      <c r="J1072" s="22" t="s">
        <v>3925</v>
      </c>
      <c r="K1072" s="22">
        <v>6</v>
      </c>
      <c r="L1072" s="22"/>
      <c r="M1072" s="22" t="s">
        <v>86</v>
      </c>
      <c r="N1072" s="24">
        <v>1965.16</v>
      </c>
      <c r="O1072" s="22">
        <f>YEAR(B1072)</f>
        <v>2024</v>
      </c>
      <c r="P1072" s="25">
        <f>DATE(YEAR(B1072),MONTH(B1072),1)</f>
        <v>45536</v>
      </c>
      <c r="Q1072" s="22" t="str">
        <f>IF(N1072&gt;Summary!$C$17,"Outlier","")</f>
        <v/>
      </c>
      <c r="R1072" s="22" t="str">
        <f>IF(L1072="","None",L1072)</f>
        <v>None</v>
      </c>
    </row>
    <row r="1073" spans="1:18" x14ac:dyDescent="0.2">
      <c r="A1073" s="22" t="s">
        <v>3926</v>
      </c>
      <c r="B1073" s="23">
        <v>45832</v>
      </c>
      <c r="C1073" s="22" t="s">
        <v>3927</v>
      </c>
      <c r="D1073" s="22" t="s">
        <v>67</v>
      </c>
      <c r="E1073" s="22">
        <v>2</v>
      </c>
      <c r="F1073" s="24">
        <v>255.14</v>
      </c>
      <c r="G1073" s="22" t="s">
        <v>1530</v>
      </c>
      <c r="H1073" s="22" t="s">
        <v>75</v>
      </c>
      <c r="I1073" s="22" t="s">
        <v>70</v>
      </c>
      <c r="J1073" s="22" t="s">
        <v>3928</v>
      </c>
      <c r="K1073" s="22">
        <v>2</v>
      </c>
      <c r="L1073" s="22"/>
      <c r="M1073" s="22" t="s">
        <v>88</v>
      </c>
      <c r="N1073" s="24">
        <v>510.28</v>
      </c>
      <c r="O1073" s="22">
        <f>YEAR(B1073)</f>
        <v>2025</v>
      </c>
      <c r="P1073" s="25">
        <f>DATE(YEAR(B1073),MONTH(B1073),1)</f>
        <v>45809</v>
      </c>
      <c r="Q1073" s="22" t="str">
        <f>IF(N1073&gt;Summary!$C$17,"Outlier","")</f>
        <v/>
      </c>
      <c r="R1073" s="22" t="str">
        <f>IF(L1073="","None",L1073)</f>
        <v>None</v>
      </c>
    </row>
    <row r="1074" spans="1:18" x14ac:dyDescent="0.2">
      <c r="A1074" s="22" t="s">
        <v>3929</v>
      </c>
      <c r="B1074" s="23">
        <v>44983</v>
      </c>
      <c r="C1074" s="22" t="s">
        <v>3930</v>
      </c>
      <c r="D1074" s="22" t="s">
        <v>65</v>
      </c>
      <c r="E1074" s="22">
        <v>1</v>
      </c>
      <c r="F1074" s="24">
        <v>392.61</v>
      </c>
      <c r="G1074" s="22" t="s">
        <v>1135</v>
      </c>
      <c r="H1074" s="22" t="s">
        <v>78</v>
      </c>
      <c r="I1074" s="22" t="s">
        <v>73</v>
      </c>
      <c r="J1074" s="22" t="s">
        <v>3931</v>
      </c>
      <c r="K1074" s="22">
        <v>4</v>
      </c>
      <c r="L1074" s="22" t="s">
        <v>83</v>
      </c>
      <c r="M1074" s="22" t="s">
        <v>90</v>
      </c>
      <c r="N1074" s="24">
        <v>392.61</v>
      </c>
      <c r="O1074" s="22">
        <f>YEAR(B1074)</f>
        <v>2023</v>
      </c>
      <c r="P1074" s="25">
        <f>DATE(YEAR(B1074),MONTH(B1074),1)</f>
        <v>44958</v>
      </c>
      <c r="Q1074" s="22" t="str">
        <f>IF(N1074&gt;Summary!$C$17,"Outlier","")</f>
        <v/>
      </c>
      <c r="R1074" s="22" t="str">
        <f>IF(L1074="","None",L1074)</f>
        <v>SAVE10</v>
      </c>
    </row>
    <row r="1075" spans="1:18" x14ac:dyDescent="0.2">
      <c r="A1075" s="22" t="s">
        <v>3932</v>
      </c>
      <c r="B1075" s="23">
        <v>45576</v>
      </c>
      <c r="C1075" s="22" t="s">
        <v>3933</v>
      </c>
      <c r="D1075" s="22" t="s">
        <v>64</v>
      </c>
      <c r="E1075" s="22">
        <v>4</v>
      </c>
      <c r="F1075" s="24">
        <v>362.06</v>
      </c>
      <c r="G1075" s="22" t="s">
        <v>1113</v>
      </c>
      <c r="H1075" s="22" t="s">
        <v>77</v>
      </c>
      <c r="I1075" s="22" t="s">
        <v>72</v>
      </c>
      <c r="J1075" s="22" t="s">
        <v>3934</v>
      </c>
      <c r="K1075" s="22">
        <v>4</v>
      </c>
      <c r="L1075" s="22"/>
      <c r="M1075" s="22" t="s">
        <v>87</v>
      </c>
      <c r="N1075" s="24">
        <v>1448.24</v>
      </c>
      <c r="O1075" s="22">
        <f>YEAR(B1075)</f>
        <v>2024</v>
      </c>
      <c r="P1075" s="25">
        <f>DATE(YEAR(B1075),MONTH(B1075),1)</f>
        <v>45566</v>
      </c>
      <c r="Q1075" s="22" t="str">
        <f>IF(N1075&gt;Summary!$C$17,"Outlier","")</f>
        <v/>
      </c>
      <c r="R1075" s="22" t="str">
        <f>IF(L1075="","None",L1075)</f>
        <v>None</v>
      </c>
    </row>
    <row r="1076" spans="1:18" x14ac:dyDescent="0.2">
      <c r="A1076" s="22" t="s">
        <v>3935</v>
      </c>
      <c r="B1076" s="23">
        <v>45422</v>
      </c>
      <c r="C1076" s="22" t="s">
        <v>3936</v>
      </c>
      <c r="D1076" s="22" t="s">
        <v>67</v>
      </c>
      <c r="E1076" s="22">
        <v>1</v>
      </c>
      <c r="F1076" s="24">
        <v>222.73</v>
      </c>
      <c r="G1076" s="22" t="s">
        <v>3937</v>
      </c>
      <c r="H1076" s="22" t="s">
        <v>79</v>
      </c>
      <c r="I1076" s="22" t="s">
        <v>72</v>
      </c>
      <c r="J1076" s="22" t="s">
        <v>3938</v>
      </c>
      <c r="K1076" s="22">
        <v>4</v>
      </c>
      <c r="L1076" s="22"/>
      <c r="M1076" s="22" t="s">
        <v>88</v>
      </c>
      <c r="N1076" s="24">
        <v>222.73</v>
      </c>
      <c r="O1076" s="22">
        <f>YEAR(B1076)</f>
        <v>2024</v>
      </c>
      <c r="P1076" s="25">
        <f>DATE(YEAR(B1076),MONTH(B1076),1)</f>
        <v>45413</v>
      </c>
      <c r="Q1076" s="22" t="str">
        <f>IF(N1076&gt;Summary!$C$17,"Outlier","")</f>
        <v/>
      </c>
      <c r="R1076" s="22" t="str">
        <f>IF(L1076="","None",L1076)</f>
        <v>None</v>
      </c>
    </row>
    <row r="1077" spans="1:18" x14ac:dyDescent="0.2">
      <c r="A1077" s="22" t="s">
        <v>3939</v>
      </c>
      <c r="B1077" s="23">
        <v>45535</v>
      </c>
      <c r="C1077" s="22" t="s">
        <v>3940</v>
      </c>
      <c r="D1077" s="22" t="s">
        <v>65</v>
      </c>
      <c r="E1077" s="22">
        <v>2</v>
      </c>
      <c r="F1077" s="24">
        <v>552.63</v>
      </c>
      <c r="G1077" s="22" t="s">
        <v>914</v>
      </c>
      <c r="H1077" s="22" t="s">
        <v>77</v>
      </c>
      <c r="I1077" s="22" t="s">
        <v>69</v>
      </c>
      <c r="J1077" s="22" t="s">
        <v>3941</v>
      </c>
      <c r="K1077" s="22">
        <v>7</v>
      </c>
      <c r="L1077" s="22" t="s">
        <v>84</v>
      </c>
      <c r="M1077" s="22" t="s">
        <v>89</v>
      </c>
      <c r="N1077" s="24">
        <v>1105.26</v>
      </c>
      <c r="O1077" s="22">
        <f>YEAR(B1077)</f>
        <v>2024</v>
      </c>
      <c r="P1077" s="25">
        <f>DATE(YEAR(B1077),MONTH(B1077),1)</f>
        <v>45505</v>
      </c>
      <c r="Q1077" s="22" t="str">
        <f>IF(N1077&gt;Summary!$C$17,"Outlier","")</f>
        <v/>
      </c>
      <c r="R1077" s="22" t="str">
        <f>IF(L1077="","None",L1077)</f>
        <v>WINTER15</v>
      </c>
    </row>
    <row r="1078" spans="1:18" x14ac:dyDescent="0.2">
      <c r="A1078" s="22" t="s">
        <v>3942</v>
      </c>
      <c r="B1078" s="23">
        <v>45054</v>
      </c>
      <c r="C1078" s="22" t="s">
        <v>3943</v>
      </c>
      <c r="D1078" s="22" t="s">
        <v>63</v>
      </c>
      <c r="E1078" s="22">
        <v>4</v>
      </c>
      <c r="F1078" s="24">
        <v>686.61</v>
      </c>
      <c r="G1078" s="22" t="s">
        <v>3790</v>
      </c>
      <c r="H1078" s="22" t="s">
        <v>75</v>
      </c>
      <c r="I1078" s="22" t="s">
        <v>70</v>
      </c>
      <c r="J1078" s="22" t="s">
        <v>3944</v>
      </c>
      <c r="K1078" s="22">
        <v>6</v>
      </c>
      <c r="L1078" s="22"/>
      <c r="M1078" s="22" t="s">
        <v>90</v>
      </c>
      <c r="N1078" s="24">
        <v>2746.44</v>
      </c>
      <c r="O1078" s="22">
        <f>YEAR(B1078)</f>
        <v>2023</v>
      </c>
      <c r="P1078" s="25">
        <f>DATE(YEAR(B1078),MONTH(B1078),1)</f>
        <v>45047</v>
      </c>
      <c r="Q1078" s="22" t="str">
        <f>IF(N1078&gt;Summary!$C$17,"Outlier","")</f>
        <v/>
      </c>
      <c r="R1078" s="22" t="str">
        <f>IF(L1078="","None",L1078)</f>
        <v>None</v>
      </c>
    </row>
    <row r="1079" spans="1:18" x14ac:dyDescent="0.2">
      <c r="A1079" s="22" t="s">
        <v>3945</v>
      </c>
      <c r="B1079" s="23">
        <v>45723</v>
      </c>
      <c r="C1079" s="22" t="s">
        <v>3946</v>
      </c>
      <c r="D1079" s="22" t="s">
        <v>62</v>
      </c>
      <c r="E1079" s="22">
        <v>3</v>
      </c>
      <c r="F1079" s="24">
        <v>305.16000000000003</v>
      </c>
      <c r="G1079" s="22" t="s">
        <v>567</v>
      </c>
      <c r="H1079" s="22" t="s">
        <v>76</v>
      </c>
      <c r="I1079" s="22" t="s">
        <v>73</v>
      </c>
      <c r="J1079" s="22" t="s">
        <v>3947</v>
      </c>
      <c r="K1079" s="22">
        <v>8</v>
      </c>
      <c r="L1079" s="22" t="s">
        <v>83</v>
      </c>
      <c r="M1079" s="22" t="s">
        <v>90</v>
      </c>
      <c r="N1079" s="24">
        <v>915.48</v>
      </c>
      <c r="O1079" s="22">
        <f>YEAR(B1079)</f>
        <v>2025</v>
      </c>
      <c r="P1079" s="25">
        <f>DATE(YEAR(B1079),MONTH(B1079),1)</f>
        <v>45717</v>
      </c>
      <c r="Q1079" s="22" t="str">
        <f>IF(N1079&gt;Summary!$C$17,"Outlier","")</f>
        <v/>
      </c>
      <c r="R1079" s="22" t="str">
        <f>IF(L1079="","None",L1079)</f>
        <v>SAVE10</v>
      </c>
    </row>
    <row r="1080" spans="1:18" x14ac:dyDescent="0.2">
      <c r="A1080" s="22" t="s">
        <v>3948</v>
      </c>
      <c r="B1080" s="23">
        <v>45003</v>
      </c>
      <c r="C1080" s="22" t="s">
        <v>3949</v>
      </c>
      <c r="D1080" s="22" t="s">
        <v>66</v>
      </c>
      <c r="E1080" s="22">
        <v>1</v>
      </c>
      <c r="F1080" s="24">
        <v>41.09</v>
      </c>
      <c r="G1080" s="22" t="s">
        <v>227</v>
      </c>
      <c r="H1080" s="22" t="s">
        <v>79</v>
      </c>
      <c r="I1080" s="22" t="s">
        <v>72</v>
      </c>
      <c r="J1080" s="22" t="s">
        <v>3950</v>
      </c>
      <c r="K1080" s="22">
        <v>4</v>
      </c>
      <c r="L1080" s="22" t="s">
        <v>84</v>
      </c>
      <c r="M1080" s="22" t="s">
        <v>86</v>
      </c>
      <c r="N1080" s="24">
        <v>41.09</v>
      </c>
      <c r="O1080" s="22">
        <f>YEAR(B1080)</f>
        <v>2023</v>
      </c>
      <c r="P1080" s="25">
        <f>DATE(YEAR(B1080),MONTH(B1080),1)</f>
        <v>44986</v>
      </c>
      <c r="Q1080" s="22" t="str">
        <f>IF(N1080&gt;Summary!$C$17,"Outlier","")</f>
        <v/>
      </c>
      <c r="R1080" s="22" t="str">
        <f>IF(L1080="","None",L1080)</f>
        <v>WINTER15</v>
      </c>
    </row>
    <row r="1081" spans="1:18" x14ac:dyDescent="0.2">
      <c r="A1081" s="22" t="s">
        <v>3951</v>
      </c>
      <c r="B1081" s="23">
        <v>45463</v>
      </c>
      <c r="C1081" s="22" t="s">
        <v>3952</v>
      </c>
      <c r="D1081" s="22" t="s">
        <v>67</v>
      </c>
      <c r="E1081" s="22">
        <v>5</v>
      </c>
      <c r="F1081" s="24">
        <v>634</v>
      </c>
      <c r="G1081" s="22" t="s">
        <v>3442</v>
      </c>
      <c r="H1081" s="22" t="s">
        <v>78</v>
      </c>
      <c r="I1081" s="22" t="s">
        <v>69</v>
      </c>
      <c r="J1081" s="22" t="s">
        <v>3953</v>
      </c>
      <c r="K1081" s="22">
        <v>8</v>
      </c>
      <c r="L1081" s="22"/>
      <c r="M1081" s="22" t="s">
        <v>86</v>
      </c>
      <c r="N1081" s="24">
        <v>3170</v>
      </c>
      <c r="O1081" s="22">
        <f>YEAR(B1081)</f>
        <v>2024</v>
      </c>
      <c r="P1081" s="25">
        <f>DATE(YEAR(B1081),MONTH(B1081),1)</f>
        <v>45444</v>
      </c>
      <c r="Q1081" s="22" t="str">
        <f>IF(N1081&gt;Summary!$C$17,"Outlier","")</f>
        <v/>
      </c>
      <c r="R1081" s="22" t="str">
        <f>IF(L1081="","None",L1081)</f>
        <v>None</v>
      </c>
    </row>
    <row r="1082" spans="1:18" x14ac:dyDescent="0.2">
      <c r="A1082" s="22" t="s">
        <v>3954</v>
      </c>
      <c r="B1082" s="23">
        <v>44946</v>
      </c>
      <c r="C1082" s="22" t="s">
        <v>3955</v>
      </c>
      <c r="D1082" s="22" t="s">
        <v>63</v>
      </c>
      <c r="E1082" s="22">
        <v>5</v>
      </c>
      <c r="F1082" s="24">
        <v>464.74</v>
      </c>
      <c r="G1082" s="22" t="s">
        <v>3956</v>
      </c>
      <c r="H1082" s="22" t="s">
        <v>78</v>
      </c>
      <c r="I1082" s="22" t="s">
        <v>69</v>
      </c>
      <c r="J1082" s="22" t="s">
        <v>3957</v>
      </c>
      <c r="K1082" s="22">
        <v>7</v>
      </c>
      <c r="L1082" s="22"/>
      <c r="M1082" s="22" t="s">
        <v>90</v>
      </c>
      <c r="N1082" s="24">
        <v>2323.6999999999998</v>
      </c>
      <c r="O1082" s="22">
        <f>YEAR(B1082)</f>
        <v>2023</v>
      </c>
      <c r="P1082" s="25">
        <f>DATE(YEAR(B1082),MONTH(B1082),1)</f>
        <v>44927</v>
      </c>
      <c r="Q1082" s="22" t="str">
        <f>IF(N1082&gt;Summary!$C$17,"Outlier","")</f>
        <v/>
      </c>
      <c r="R1082" s="22" t="str">
        <f>IF(L1082="","None",L1082)</f>
        <v>None</v>
      </c>
    </row>
    <row r="1083" spans="1:18" x14ac:dyDescent="0.2">
      <c r="A1083" s="22" t="s">
        <v>3958</v>
      </c>
      <c r="B1083" s="23">
        <v>45037</v>
      </c>
      <c r="C1083" s="22" t="s">
        <v>3959</v>
      </c>
      <c r="D1083" s="22" t="s">
        <v>65</v>
      </c>
      <c r="E1083" s="22">
        <v>4</v>
      </c>
      <c r="F1083" s="24">
        <v>425.6</v>
      </c>
      <c r="G1083" s="22" t="s">
        <v>1463</v>
      </c>
      <c r="H1083" s="22" t="s">
        <v>76</v>
      </c>
      <c r="I1083" s="22" t="s">
        <v>71</v>
      </c>
      <c r="J1083" s="22" t="s">
        <v>3960</v>
      </c>
      <c r="K1083" s="22">
        <v>5</v>
      </c>
      <c r="L1083" s="22" t="s">
        <v>82</v>
      </c>
      <c r="M1083" s="22" t="s">
        <v>88</v>
      </c>
      <c r="N1083" s="24">
        <v>1702.4</v>
      </c>
      <c r="O1083" s="22">
        <f>YEAR(B1083)</f>
        <v>2023</v>
      </c>
      <c r="P1083" s="25">
        <f>DATE(YEAR(B1083),MONTH(B1083),1)</f>
        <v>45017</v>
      </c>
      <c r="Q1083" s="22" t="str">
        <f>IF(N1083&gt;Summary!$C$17,"Outlier","")</f>
        <v/>
      </c>
      <c r="R1083" s="22" t="str">
        <f>IF(L1083="","None",L1083)</f>
        <v>FREESHIP</v>
      </c>
    </row>
    <row r="1084" spans="1:18" x14ac:dyDescent="0.2">
      <c r="A1084" s="22" t="s">
        <v>3961</v>
      </c>
      <c r="B1084" s="23">
        <v>45205</v>
      </c>
      <c r="C1084" s="22" t="s">
        <v>3962</v>
      </c>
      <c r="D1084" s="22" t="s">
        <v>61</v>
      </c>
      <c r="E1084" s="22">
        <v>3</v>
      </c>
      <c r="F1084" s="24">
        <v>573.22</v>
      </c>
      <c r="G1084" s="22" t="s">
        <v>3823</v>
      </c>
      <c r="H1084" s="22" t="s">
        <v>77</v>
      </c>
      <c r="I1084" s="22" t="s">
        <v>71</v>
      </c>
      <c r="J1084" s="22" t="s">
        <v>3963</v>
      </c>
      <c r="K1084" s="22">
        <v>5</v>
      </c>
      <c r="L1084" s="22" t="s">
        <v>83</v>
      </c>
      <c r="M1084" s="22" t="s">
        <v>86</v>
      </c>
      <c r="N1084" s="24">
        <v>1719.66</v>
      </c>
      <c r="O1084" s="22">
        <f>YEAR(B1084)</f>
        <v>2023</v>
      </c>
      <c r="P1084" s="25">
        <f>DATE(YEAR(B1084),MONTH(B1084),1)</f>
        <v>45200</v>
      </c>
      <c r="Q1084" s="22" t="str">
        <f>IF(N1084&gt;Summary!$C$17,"Outlier","")</f>
        <v/>
      </c>
      <c r="R1084" s="22" t="str">
        <f>IF(L1084="","None",L1084)</f>
        <v>SAVE10</v>
      </c>
    </row>
    <row r="1085" spans="1:18" x14ac:dyDescent="0.2">
      <c r="A1085" s="22" t="s">
        <v>3964</v>
      </c>
      <c r="B1085" s="23">
        <v>45482</v>
      </c>
      <c r="C1085" s="22" t="s">
        <v>3965</v>
      </c>
      <c r="D1085" s="22" t="s">
        <v>61</v>
      </c>
      <c r="E1085" s="22">
        <v>1</v>
      </c>
      <c r="F1085" s="24">
        <v>123.28</v>
      </c>
      <c r="G1085" s="22" t="s">
        <v>239</v>
      </c>
      <c r="H1085" s="22" t="s">
        <v>76</v>
      </c>
      <c r="I1085" s="22" t="s">
        <v>69</v>
      </c>
      <c r="J1085" s="22" t="s">
        <v>3966</v>
      </c>
      <c r="K1085" s="22">
        <v>3</v>
      </c>
      <c r="L1085" s="22" t="s">
        <v>83</v>
      </c>
      <c r="M1085" s="22" t="s">
        <v>86</v>
      </c>
      <c r="N1085" s="24">
        <v>123.28</v>
      </c>
      <c r="O1085" s="22">
        <f>YEAR(B1085)</f>
        <v>2024</v>
      </c>
      <c r="P1085" s="25">
        <f>DATE(YEAR(B1085),MONTH(B1085),1)</f>
        <v>45474</v>
      </c>
      <c r="Q1085" s="22" t="str">
        <f>IF(N1085&gt;Summary!$C$17,"Outlier","")</f>
        <v/>
      </c>
      <c r="R1085" s="22" t="str">
        <f>IF(L1085="","None",L1085)</f>
        <v>SAVE10</v>
      </c>
    </row>
    <row r="1086" spans="1:18" x14ac:dyDescent="0.2">
      <c r="A1086" s="22" t="s">
        <v>3967</v>
      </c>
      <c r="B1086" s="23">
        <v>44934</v>
      </c>
      <c r="C1086" s="22" t="s">
        <v>3968</v>
      </c>
      <c r="D1086" s="22" t="s">
        <v>67</v>
      </c>
      <c r="E1086" s="22">
        <v>1</v>
      </c>
      <c r="F1086" s="24">
        <v>70.819999999999993</v>
      </c>
      <c r="G1086" s="22" t="s">
        <v>259</v>
      </c>
      <c r="H1086" s="22" t="s">
        <v>78</v>
      </c>
      <c r="I1086" s="22" t="s">
        <v>71</v>
      </c>
      <c r="J1086" s="22" t="s">
        <v>3969</v>
      </c>
      <c r="K1086" s="22">
        <v>1</v>
      </c>
      <c r="L1086" s="22" t="s">
        <v>84</v>
      </c>
      <c r="M1086" s="22" t="s">
        <v>89</v>
      </c>
      <c r="N1086" s="24">
        <v>70.819999999999993</v>
      </c>
      <c r="O1086" s="22">
        <f>YEAR(B1086)</f>
        <v>2023</v>
      </c>
      <c r="P1086" s="25">
        <f>DATE(YEAR(B1086),MONTH(B1086),1)</f>
        <v>44927</v>
      </c>
      <c r="Q1086" s="22" t="str">
        <f>IF(N1086&gt;Summary!$C$17,"Outlier","")</f>
        <v/>
      </c>
      <c r="R1086" s="22" t="str">
        <f>IF(L1086="","None",L1086)</f>
        <v>WINTER15</v>
      </c>
    </row>
    <row r="1087" spans="1:18" x14ac:dyDescent="0.2">
      <c r="A1087" s="22" t="s">
        <v>3970</v>
      </c>
      <c r="B1087" s="23">
        <v>45067</v>
      </c>
      <c r="C1087" s="22" t="s">
        <v>3971</v>
      </c>
      <c r="D1087" s="22" t="s">
        <v>62</v>
      </c>
      <c r="E1087" s="22">
        <v>2</v>
      </c>
      <c r="F1087" s="24">
        <v>646.69000000000005</v>
      </c>
      <c r="G1087" s="22" t="s">
        <v>691</v>
      </c>
      <c r="H1087" s="22" t="s">
        <v>77</v>
      </c>
      <c r="I1087" s="22" t="s">
        <v>70</v>
      </c>
      <c r="J1087" s="22" t="s">
        <v>3972</v>
      </c>
      <c r="K1087" s="22">
        <v>7</v>
      </c>
      <c r="L1087" s="22" t="s">
        <v>84</v>
      </c>
      <c r="M1087" s="22" t="s">
        <v>89</v>
      </c>
      <c r="N1087" s="24">
        <v>1293.3800000000001</v>
      </c>
      <c r="O1087" s="22">
        <f>YEAR(B1087)</f>
        <v>2023</v>
      </c>
      <c r="P1087" s="25">
        <f>DATE(YEAR(B1087),MONTH(B1087),1)</f>
        <v>45047</v>
      </c>
      <c r="Q1087" s="22" t="str">
        <f>IF(N1087&gt;Summary!$C$17,"Outlier","")</f>
        <v/>
      </c>
      <c r="R1087" s="22" t="str">
        <f>IF(L1087="","None",L1087)</f>
        <v>WINTER15</v>
      </c>
    </row>
    <row r="1088" spans="1:18" x14ac:dyDescent="0.2">
      <c r="A1088" s="22" t="s">
        <v>3973</v>
      </c>
      <c r="B1088" s="23">
        <v>45283</v>
      </c>
      <c r="C1088" s="22" t="s">
        <v>3974</v>
      </c>
      <c r="D1088" s="22" t="s">
        <v>64</v>
      </c>
      <c r="E1088" s="22">
        <v>2</v>
      </c>
      <c r="F1088" s="24">
        <v>513.41999999999996</v>
      </c>
      <c r="G1088" s="22" t="s">
        <v>3975</v>
      </c>
      <c r="H1088" s="22" t="s">
        <v>79</v>
      </c>
      <c r="I1088" s="22" t="s">
        <v>71</v>
      </c>
      <c r="J1088" s="22" t="s">
        <v>3976</v>
      </c>
      <c r="K1088" s="22">
        <v>5</v>
      </c>
      <c r="L1088" s="22" t="s">
        <v>84</v>
      </c>
      <c r="M1088" s="22" t="s">
        <v>89</v>
      </c>
      <c r="N1088" s="24">
        <v>1026.8399999999999</v>
      </c>
      <c r="O1088" s="22">
        <f>YEAR(B1088)</f>
        <v>2023</v>
      </c>
      <c r="P1088" s="25">
        <f>DATE(YEAR(B1088),MONTH(B1088),1)</f>
        <v>45261</v>
      </c>
      <c r="Q1088" s="22" t="str">
        <f>IF(N1088&gt;Summary!$C$17,"Outlier","")</f>
        <v/>
      </c>
      <c r="R1088" s="22" t="str">
        <f>IF(L1088="","None",L1088)</f>
        <v>WINTER15</v>
      </c>
    </row>
    <row r="1089" spans="1:18" x14ac:dyDescent="0.2">
      <c r="A1089" s="22" t="s">
        <v>3977</v>
      </c>
      <c r="B1089" s="23">
        <v>45739</v>
      </c>
      <c r="C1089" s="22" t="s">
        <v>3978</v>
      </c>
      <c r="D1089" s="22" t="s">
        <v>63</v>
      </c>
      <c r="E1089" s="22">
        <v>4</v>
      </c>
      <c r="F1089" s="24">
        <v>693.07</v>
      </c>
      <c r="G1089" s="22" t="s">
        <v>3979</v>
      </c>
      <c r="H1089" s="22" t="s">
        <v>79</v>
      </c>
      <c r="I1089" s="22" t="s">
        <v>70</v>
      </c>
      <c r="J1089" s="22" t="s">
        <v>3980</v>
      </c>
      <c r="K1089" s="22">
        <v>8</v>
      </c>
      <c r="L1089" s="22" t="s">
        <v>83</v>
      </c>
      <c r="M1089" s="22" t="s">
        <v>89</v>
      </c>
      <c r="N1089" s="24">
        <v>2772.28</v>
      </c>
      <c r="O1089" s="22">
        <f>YEAR(B1089)</f>
        <v>2025</v>
      </c>
      <c r="P1089" s="25">
        <f>DATE(YEAR(B1089),MONTH(B1089),1)</f>
        <v>45717</v>
      </c>
      <c r="Q1089" s="22" t="str">
        <f>IF(N1089&gt;Summary!$C$17,"Outlier","")</f>
        <v/>
      </c>
      <c r="R1089" s="22" t="str">
        <f>IF(L1089="","None",L1089)</f>
        <v>SAVE10</v>
      </c>
    </row>
    <row r="1090" spans="1:18" x14ac:dyDescent="0.2">
      <c r="A1090" s="22" t="s">
        <v>3981</v>
      </c>
      <c r="B1090" s="23">
        <v>45260</v>
      </c>
      <c r="C1090" s="22" t="s">
        <v>3982</v>
      </c>
      <c r="D1090" s="22" t="s">
        <v>66</v>
      </c>
      <c r="E1090" s="22">
        <v>3</v>
      </c>
      <c r="F1090" s="24">
        <v>491.43</v>
      </c>
      <c r="G1090" s="22" t="s">
        <v>3983</v>
      </c>
      <c r="H1090" s="22" t="s">
        <v>78</v>
      </c>
      <c r="I1090" s="22" t="s">
        <v>70</v>
      </c>
      <c r="J1090" s="22" t="s">
        <v>3984</v>
      </c>
      <c r="K1090" s="22">
        <v>6</v>
      </c>
      <c r="L1090" s="22" t="s">
        <v>84</v>
      </c>
      <c r="M1090" s="22" t="s">
        <v>89</v>
      </c>
      <c r="N1090" s="24">
        <v>1474.29</v>
      </c>
      <c r="O1090" s="22">
        <f>YEAR(B1090)</f>
        <v>2023</v>
      </c>
      <c r="P1090" s="25">
        <f>DATE(YEAR(B1090),MONTH(B1090),1)</f>
        <v>45231</v>
      </c>
      <c r="Q1090" s="22" t="str">
        <f>IF(N1090&gt;Summary!$C$17,"Outlier","")</f>
        <v/>
      </c>
      <c r="R1090" s="22" t="str">
        <f>IF(L1090="","None",L1090)</f>
        <v>WINTER15</v>
      </c>
    </row>
    <row r="1091" spans="1:18" x14ac:dyDescent="0.2">
      <c r="A1091" s="22" t="s">
        <v>3985</v>
      </c>
      <c r="B1091" s="23">
        <v>45731</v>
      </c>
      <c r="C1091" s="22" t="s">
        <v>3986</v>
      </c>
      <c r="D1091" s="22" t="s">
        <v>64</v>
      </c>
      <c r="E1091" s="22">
        <v>2</v>
      </c>
      <c r="F1091" s="24">
        <v>599.74</v>
      </c>
      <c r="G1091" s="22" t="s">
        <v>383</v>
      </c>
      <c r="H1091" s="22" t="s">
        <v>78</v>
      </c>
      <c r="I1091" s="22" t="s">
        <v>70</v>
      </c>
      <c r="J1091" s="22" t="s">
        <v>3987</v>
      </c>
      <c r="K1091" s="22">
        <v>2</v>
      </c>
      <c r="L1091" s="22"/>
      <c r="M1091" s="22" t="s">
        <v>89</v>
      </c>
      <c r="N1091" s="24">
        <v>1199.48</v>
      </c>
      <c r="O1091" s="22">
        <f>YEAR(B1091)</f>
        <v>2025</v>
      </c>
      <c r="P1091" s="25">
        <f>DATE(YEAR(B1091),MONTH(B1091),1)</f>
        <v>45717</v>
      </c>
      <c r="Q1091" s="22" t="str">
        <f>IF(N1091&gt;Summary!$C$17,"Outlier","")</f>
        <v/>
      </c>
      <c r="R1091" s="22" t="str">
        <f>IF(L1091="","None",L1091)</f>
        <v>None</v>
      </c>
    </row>
    <row r="1092" spans="1:18" x14ac:dyDescent="0.2">
      <c r="A1092" s="22" t="s">
        <v>3988</v>
      </c>
      <c r="B1092" s="23">
        <v>44982</v>
      </c>
      <c r="C1092" s="22" t="s">
        <v>3989</v>
      </c>
      <c r="D1092" s="22" t="s">
        <v>65</v>
      </c>
      <c r="E1092" s="22">
        <v>2</v>
      </c>
      <c r="F1092" s="24">
        <v>650.25</v>
      </c>
      <c r="G1092" s="22" t="s">
        <v>243</v>
      </c>
      <c r="H1092" s="22" t="s">
        <v>78</v>
      </c>
      <c r="I1092" s="22" t="s">
        <v>72</v>
      </c>
      <c r="J1092" s="22" t="s">
        <v>3990</v>
      </c>
      <c r="K1092" s="22">
        <v>6</v>
      </c>
      <c r="L1092" s="22"/>
      <c r="M1092" s="22" t="s">
        <v>89</v>
      </c>
      <c r="N1092" s="24">
        <v>1300.5</v>
      </c>
      <c r="O1092" s="22">
        <f>YEAR(B1092)</f>
        <v>2023</v>
      </c>
      <c r="P1092" s="25">
        <f>DATE(YEAR(B1092),MONTH(B1092),1)</f>
        <v>44958</v>
      </c>
      <c r="Q1092" s="22" t="str">
        <f>IF(N1092&gt;Summary!$C$17,"Outlier","")</f>
        <v/>
      </c>
      <c r="R1092" s="22" t="str">
        <f>IF(L1092="","None",L1092)</f>
        <v>None</v>
      </c>
    </row>
    <row r="1093" spans="1:18" x14ac:dyDescent="0.2">
      <c r="A1093" s="22" t="s">
        <v>3991</v>
      </c>
      <c r="B1093" s="23">
        <v>45573</v>
      </c>
      <c r="C1093" s="22" t="s">
        <v>3992</v>
      </c>
      <c r="D1093" s="22" t="s">
        <v>63</v>
      </c>
      <c r="E1093" s="22">
        <v>3</v>
      </c>
      <c r="F1093" s="24">
        <v>209.48</v>
      </c>
      <c r="G1093" s="22" t="s">
        <v>1684</v>
      </c>
      <c r="H1093" s="22" t="s">
        <v>77</v>
      </c>
      <c r="I1093" s="22" t="s">
        <v>71</v>
      </c>
      <c r="J1093" s="22" t="s">
        <v>3993</v>
      </c>
      <c r="K1093" s="22">
        <v>4</v>
      </c>
      <c r="L1093" s="22"/>
      <c r="M1093" s="22" t="s">
        <v>86</v>
      </c>
      <c r="N1093" s="24">
        <v>628.44000000000005</v>
      </c>
      <c r="O1093" s="22">
        <f>YEAR(B1093)</f>
        <v>2024</v>
      </c>
      <c r="P1093" s="25">
        <f>DATE(YEAR(B1093),MONTH(B1093),1)</f>
        <v>45566</v>
      </c>
      <c r="Q1093" s="22" t="str">
        <f>IF(N1093&gt;Summary!$C$17,"Outlier","")</f>
        <v/>
      </c>
      <c r="R1093" s="22" t="str">
        <f>IF(L1093="","None",L1093)</f>
        <v>None</v>
      </c>
    </row>
    <row r="1094" spans="1:18" x14ac:dyDescent="0.2">
      <c r="A1094" s="22" t="s">
        <v>3994</v>
      </c>
      <c r="B1094" s="23">
        <v>45159</v>
      </c>
      <c r="C1094" s="22" t="s">
        <v>3995</v>
      </c>
      <c r="D1094" s="22" t="s">
        <v>63</v>
      </c>
      <c r="E1094" s="22">
        <v>5</v>
      </c>
      <c r="F1094" s="24">
        <v>209.2</v>
      </c>
      <c r="G1094" s="22" t="s">
        <v>235</v>
      </c>
      <c r="H1094" s="22" t="s">
        <v>77</v>
      </c>
      <c r="I1094" s="22" t="s">
        <v>69</v>
      </c>
      <c r="J1094" s="22" t="s">
        <v>3996</v>
      </c>
      <c r="K1094" s="22">
        <v>6</v>
      </c>
      <c r="L1094" s="22" t="s">
        <v>84</v>
      </c>
      <c r="M1094" s="22" t="s">
        <v>86</v>
      </c>
      <c r="N1094" s="24">
        <v>1046</v>
      </c>
      <c r="O1094" s="22">
        <f>YEAR(B1094)</f>
        <v>2023</v>
      </c>
      <c r="P1094" s="25">
        <f>DATE(YEAR(B1094),MONTH(B1094),1)</f>
        <v>45139</v>
      </c>
      <c r="Q1094" s="22" t="str">
        <f>IF(N1094&gt;Summary!$C$17,"Outlier","")</f>
        <v/>
      </c>
      <c r="R1094" s="22" t="str">
        <f>IF(L1094="","None",L1094)</f>
        <v>WINTER15</v>
      </c>
    </row>
    <row r="1095" spans="1:18" x14ac:dyDescent="0.2">
      <c r="A1095" s="22" t="s">
        <v>3997</v>
      </c>
      <c r="B1095" s="23">
        <v>45086</v>
      </c>
      <c r="C1095" s="22" t="s">
        <v>3998</v>
      </c>
      <c r="D1095" s="22" t="s">
        <v>67</v>
      </c>
      <c r="E1095" s="22">
        <v>4</v>
      </c>
      <c r="F1095" s="24">
        <v>197.36</v>
      </c>
      <c r="G1095" s="22" t="s">
        <v>3999</v>
      </c>
      <c r="H1095" s="22" t="s">
        <v>78</v>
      </c>
      <c r="I1095" s="22" t="s">
        <v>72</v>
      </c>
      <c r="J1095" s="22" t="s">
        <v>4000</v>
      </c>
      <c r="K1095" s="22">
        <v>9</v>
      </c>
      <c r="L1095" s="22" t="s">
        <v>82</v>
      </c>
      <c r="M1095" s="22" t="s">
        <v>89</v>
      </c>
      <c r="N1095" s="24">
        <v>789.44</v>
      </c>
      <c r="O1095" s="22">
        <f>YEAR(B1095)</f>
        <v>2023</v>
      </c>
      <c r="P1095" s="25">
        <f>DATE(YEAR(B1095),MONTH(B1095),1)</f>
        <v>45078</v>
      </c>
      <c r="Q1095" s="22" t="str">
        <f>IF(N1095&gt;Summary!$C$17,"Outlier","")</f>
        <v/>
      </c>
      <c r="R1095" s="22" t="str">
        <f>IF(L1095="","None",L1095)</f>
        <v>FREESHIP</v>
      </c>
    </row>
    <row r="1096" spans="1:18" x14ac:dyDescent="0.2">
      <c r="A1096" s="22" t="s">
        <v>4001</v>
      </c>
      <c r="B1096" s="23">
        <v>45105</v>
      </c>
      <c r="C1096" s="22" t="s">
        <v>4002</v>
      </c>
      <c r="D1096" s="22" t="s">
        <v>62</v>
      </c>
      <c r="E1096" s="22">
        <v>4</v>
      </c>
      <c r="F1096" s="24">
        <v>648.91</v>
      </c>
      <c r="G1096" s="22" t="s">
        <v>4003</v>
      </c>
      <c r="H1096" s="22" t="s">
        <v>76</v>
      </c>
      <c r="I1096" s="22" t="s">
        <v>70</v>
      </c>
      <c r="J1096" s="22" t="s">
        <v>4004</v>
      </c>
      <c r="K1096" s="22">
        <v>6</v>
      </c>
      <c r="L1096" s="22" t="s">
        <v>83</v>
      </c>
      <c r="M1096" s="22" t="s">
        <v>89</v>
      </c>
      <c r="N1096" s="24">
        <v>2595.64</v>
      </c>
      <c r="O1096" s="22">
        <f>YEAR(B1096)</f>
        <v>2023</v>
      </c>
      <c r="P1096" s="25">
        <f>DATE(YEAR(B1096),MONTH(B1096),1)</f>
        <v>45078</v>
      </c>
      <c r="Q1096" s="22" t="str">
        <f>IF(N1096&gt;Summary!$C$17,"Outlier","")</f>
        <v/>
      </c>
      <c r="R1096" s="22" t="str">
        <f>IF(L1096="","None",L1096)</f>
        <v>SAVE10</v>
      </c>
    </row>
    <row r="1097" spans="1:18" x14ac:dyDescent="0.2">
      <c r="A1097" s="22" t="s">
        <v>4005</v>
      </c>
      <c r="B1097" s="23">
        <v>45405</v>
      </c>
      <c r="C1097" s="22" t="s">
        <v>4006</v>
      </c>
      <c r="D1097" s="22" t="s">
        <v>67</v>
      </c>
      <c r="E1097" s="22">
        <v>2</v>
      </c>
      <c r="F1097" s="24">
        <v>441.54</v>
      </c>
      <c r="G1097" s="22" t="s">
        <v>4007</v>
      </c>
      <c r="H1097" s="22" t="s">
        <v>79</v>
      </c>
      <c r="I1097" s="22" t="s">
        <v>69</v>
      </c>
      <c r="J1097" s="22" t="s">
        <v>4008</v>
      </c>
      <c r="K1097" s="22">
        <v>2</v>
      </c>
      <c r="L1097" s="22" t="s">
        <v>83</v>
      </c>
      <c r="M1097" s="22" t="s">
        <v>86</v>
      </c>
      <c r="N1097" s="24">
        <v>883.08</v>
      </c>
      <c r="O1097" s="22">
        <f>YEAR(B1097)</f>
        <v>2024</v>
      </c>
      <c r="P1097" s="25">
        <f>DATE(YEAR(B1097),MONTH(B1097),1)</f>
        <v>45383</v>
      </c>
      <c r="Q1097" s="22" t="str">
        <f>IF(N1097&gt;Summary!$C$17,"Outlier","")</f>
        <v/>
      </c>
      <c r="R1097" s="22" t="str">
        <f>IF(L1097="","None",L1097)</f>
        <v>SAVE10</v>
      </c>
    </row>
    <row r="1098" spans="1:18" x14ac:dyDescent="0.2">
      <c r="A1098" s="22" t="s">
        <v>4009</v>
      </c>
      <c r="B1098" s="23">
        <v>45780</v>
      </c>
      <c r="C1098" s="22" t="s">
        <v>4010</v>
      </c>
      <c r="D1098" s="22" t="s">
        <v>64</v>
      </c>
      <c r="E1098" s="22">
        <v>2</v>
      </c>
      <c r="F1098" s="24">
        <v>464.92</v>
      </c>
      <c r="G1098" s="22" t="s">
        <v>4011</v>
      </c>
      <c r="H1098" s="22" t="s">
        <v>77</v>
      </c>
      <c r="I1098" s="22" t="s">
        <v>72</v>
      </c>
      <c r="J1098" s="22" t="s">
        <v>4012</v>
      </c>
      <c r="K1098" s="22">
        <v>2</v>
      </c>
      <c r="L1098" s="22"/>
      <c r="M1098" s="22" t="s">
        <v>87</v>
      </c>
      <c r="N1098" s="24">
        <v>929.84</v>
      </c>
      <c r="O1098" s="22">
        <f>YEAR(B1098)</f>
        <v>2025</v>
      </c>
      <c r="P1098" s="25">
        <f>DATE(YEAR(B1098),MONTH(B1098),1)</f>
        <v>45778</v>
      </c>
      <c r="Q1098" s="22" t="str">
        <f>IF(N1098&gt;Summary!$C$17,"Outlier","")</f>
        <v/>
      </c>
      <c r="R1098" s="22" t="str">
        <f>IF(L1098="","None",L1098)</f>
        <v>None</v>
      </c>
    </row>
    <row r="1099" spans="1:18" x14ac:dyDescent="0.2">
      <c r="A1099" s="22" t="s">
        <v>4013</v>
      </c>
      <c r="B1099" s="23">
        <v>45652</v>
      </c>
      <c r="C1099" s="22" t="s">
        <v>4014</v>
      </c>
      <c r="D1099" s="22" t="s">
        <v>65</v>
      </c>
      <c r="E1099" s="22">
        <v>5</v>
      </c>
      <c r="F1099" s="24">
        <v>506.45</v>
      </c>
      <c r="G1099" s="22" t="s">
        <v>4015</v>
      </c>
      <c r="H1099" s="22" t="s">
        <v>78</v>
      </c>
      <c r="I1099" s="22" t="s">
        <v>70</v>
      </c>
      <c r="J1099" s="22" t="s">
        <v>4016</v>
      </c>
      <c r="K1099" s="22">
        <v>7</v>
      </c>
      <c r="L1099" s="22" t="s">
        <v>84</v>
      </c>
      <c r="M1099" s="22" t="s">
        <v>88</v>
      </c>
      <c r="N1099" s="24">
        <v>2532.25</v>
      </c>
      <c r="O1099" s="22">
        <f>YEAR(B1099)</f>
        <v>2024</v>
      </c>
      <c r="P1099" s="25">
        <f>DATE(YEAR(B1099),MONTH(B1099),1)</f>
        <v>45627</v>
      </c>
      <c r="Q1099" s="22" t="str">
        <f>IF(N1099&gt;Summary!$C$17,"Outlier","")</f>
        <v/>
      </c>
      <c r="R1099" s="22" t="str">
        <f>IF(L1099="","None",L1099)</f>
        <v>WINTER15</v>
      </c>
    </row>
    <row r="1100" spans="1:18" x14ac:dyDescent="0.2">
      <c r="A1100" s="22" t="s">
        <v>4017</v>
      </c>
      <c r="B1100" s="23">
        <v>45094</v>
      </c>
      <c r="C1100" s="22" t="s">
        <v>4018</v>
      </c>
      <c r="D1100" s="22" t="s">
        <v>65</v>
      </c>
      <c r="E1100" s="22">
        <v>4</v>
      </c>
      <c r="F1100" s="24">
        <v>255.86</v>
      </c>
      <c r="G1100" s="22" t="s">
        <v>4019</v>
      </c>
      <c r="H1100" s="22" t="s">
        <v>76</v>
      </c>
      <c r="I1100" s="22" t="s">
        <v>69</v>
      </c>
      <c r="J1100" s="22" t="s">
        <v>4020</v>
      </c>
      <c r="K1100" s="22">
        <v>7</v>
      </c>
      <c r="L1100" s="22"/>
      <c r="M1100" s="22" t="s">
        <v>86</v>
      </c>
      <c r="N1100" s="24">
        <v>1023.44</v>
      </c>
      <c r="O1100" s="22">
        <f>YEAR(B1100)</f>
        <v>2023</v>
      </c>
      <c r="P1100" s="25">
        <f>DATE(YEAR(B1100),MONTH(B1100),1)</f>
        <v>45078</v>
      </c>
      <c r="Q1100" s="22" t="str">
        <f>IF(N1100&gt;Summary!$C$17,"Outlier","")</f>
        <v/>
      </c>
      <c r="R1100" s="22" t="str">
        <f>IF(L1100="","None",L1100)</f>
        <v>None</v>
      </c>
    </row>
    <row r="1101" spans="1:18" x14ac:dyDescent="0.2">
      <c r="A1101" s="22" t="s">
        <v>4021</v>
      </c>
      <c r="B1101" s="23">
        <v>45554</v>
      </c>
      <c r="C1101" s="22" t="s">
        <v>4022</v>
      </c>
      <c r="D1101" s="22" t="s">
        <v>63</v>
      </c>
      <c r="E1101" s="22">
        <v>2</v>
      </c>
      <c r="F1101" s="24">
        <v>125.23</v>
      </c>
      <c r="G1101" s="22" t="s">
        <v>1576</v>
      </c>
      <c r="H1101" s="22" t="s">
        <v>75</v>
      </c>
      <c r="I1101" s="22" t="s">
        <v>73</v>
      </c>
      <c r="J1101" s="22" t="s">
        <v>4023</v>
      </c>
      <c r="K1101" s="22">
        <v>3</v>
      </c>
      <c r="L1101" s="22" t="s">
        <v>82</v>
      </c>
      <c r="M1101" s="22" t="s">
        <v>86</v>
      </c>
      <c r="N1101" s="24">
        <v>250.46</v>
      </c>
      <c r="O1101" s="22">
        <f>YEAR(B1101)</f>
        <v>2024</v>
      </c>
      <c r="P1101" s="25">
        <f>DATE(YEAR(B1101),MONTH(B1101),1)</f>
        <v>45536</v>
      </c>
      <c r="Q1101" s="22" t="str">
        <f>IF(N1101&gt;Summary!$C$17,"Outlier","")</f>
        <v/>
      </c>
      <c r="R1101" s="22" t="str">
        <f>IF(L1101="","None",L1101)</f>
        <v>FREESHIP</v>
      </c>
    </row>
    <row r="1102" spans="1:18" x14ac:dyDescent="0.2">
      <c r="A1102" s="22" t="s">
        <v>4024</v>
      </c>
      <c r="B1102" s="23">
        <v>45155</v>
      </c>
      <c r="C1102" s="22" t="s">
        <v>4025</v>
      </c>
      <c r="D1102" s="22" t="s">
        <v>63</v>
      </c>
      <c r="E1102" s="22">
        <v>5</v>
      </c>
      <c r="F1102" s="24">
        <v>38.11</v>
      </c>
      <c r="G1102" s="22" t="s">
        <v>4026</v>
      </c>
      <c r="H1102" s="22" t="s">
        <v>77</v>
      </c>
      <c r="I1102" s="22" t="s">
        <v>73</v>
      </c>
      <c r="J1102" s="22" t="s">
        <v>4027</v>
      </c>
      <c r="K1102" s="22">
        <v>6</v>
      </c>
      <c r="L1102" s="22" t="s">
        <v>84</v>
      </c>
      <c r="M1102" s="22" t="s">
        <v>89</v>
      </c>
      <c r="N1102" s="24">
        <v>190.55</v>
      </c>
      <c r="O1102" s="22">
        <f>YEAR(B1102)</f>
        <v>2023</v>
      </c>
      <c r="P1102" s="25">
        <f>DATE(YEAR(B1102),MONTH(B1102),1)</f>
        <v>45139</v>
      </c>
      <c r="Q1102" s="22" t="str">
        <f>IF(N1102&gt;Summary!$C$17,"Outlier","")</f>
        <v/>
      </c>
      <c r="R1102" s="22" t="str">
        <f>IF(L1102="","None",L1102)</f>
        <v>WINTER15</v>
      </c>
    </row>
    <row r="1103" spans="1:18" x14ac:dyDescent="0.2">
      <c r="A1103" s="22" t="s">
        <v>4028</v>
      </c>
      <c r="B1103" s="23">
        <v>45816</v>
      </c>
      <c r="C1103" s="22" t="s">
        <v>4029</v>
      </c>
      <c r="D1103" s="22" t="s">
        <v>65</v>
      </c>
      <c r="E1103" s="22">
        <v>3</v>
      </c>
      <c r="F1103" s="24">
        <v>161.97</v>
      </c>
      <c r="G1103" s="22" t="s">
        <v>151</v>
      </c>
      <c r="H1103" s="22" t="s">
        <v>75</v>
      </c>
      <c r="I1103" s="22" t="s">
        <v>71</v>
      </c>
      <c r="J1103" s="22" t="s">
        <v>4030</v>
      </c>
      <c r="K1103" s="22">
        <v>4</v>
      </c>
      <c r="L1103" s="22" t="s">
        <v>83</v>
      </c>
      <c r="M1103" s="22" t="s">
        <v>86</v>
      </c>
      <c r="N1103" s="24">
        <v>485.91</v>
      </c>
      <c r="O1103" s="22">
        <f>YEAR(B1103)</f>
        <v>2025</v>
      </c>
      <c r="P1103" s="25">
        <f>DATE(YEAR(B1103),MONTH(B1103),1)</f>
        <v>45809</v>
      </c>
      <c r="Q1103" s="22" t="str">
        <f>IF(N1103&gt;Summary!$C$17,"Outlier","")</f>
        <v/>
      </c>
      <c r="R1103" s="22" t="str">
        <f>IF(L1103="","None",L1103)</f>
        <v>SAVE10</v>
      </c>
    </row>
    <row r="1104" spans="1:18" x14ac:dyDescent="0.2">
      <c r="A1104" s="22" t="s">
        <v>4031</v>
      </c>
      <c r="B1104" s="23">
        <v>45446</v>
      </c>
      <c r="C1104" s="22" t="s">
        <v>174</v>
      </c>
      <c r="D1104" s="22" t="s">
        <v>61</v>
      </c>
      <c r="E1104" s="22">
        <v>4</v>
      </c>
      <c r="F1104" s="24">
        <v>347.17</v>
      </c>
      <c r="G1104" s="22" t="s">
        <v>2852</v>
      </c>
      <c r="H1104" s="22" t="s">
        <v>77</v>
      </c>
      <c r="I1104" s="22" t="s">
        <v>70</v>
      </c>
      <c r="J1104" s="22" t="s">
        <v>4032</v>
      </c>
      <c r="K1104" s="22">
        <v>8</v>
      </c>
      <c r="L1104" s="22"/>
      <c r="M1104" s="22" t="s">
        <v>89</v>
      </c>
      <c r="N1104" s="24">
        <v>1388.68</v>
      </c>
      <c r="O1104" s="22">
        <f>YEAR(B1104)</f>
        <v>2024</v>
      </c>
      <c r="P1104" s="25">
        <f>DATE(YEAR(B1104),MONTH(B1104),1)</f>
        <v>45444</v>
      </c>
      <c r="Q1104" s="22" t="str">
        <f>IF(N1104&gt;Summary!$C$17,"Outlier","")</f>
        <v/>
      </c>
      <c r="R1104" s="22" t="str">
        <f>IF(L1104="","None",L1104)</f>
        <v>None</v>
      </c>
    </row>
    <row r="1105" spans="1:18" x14ac:dyDescent="0.2">
      <c r="A1105" s="22" t="s">
        <v>4033</v>
      </c>
      <c r="B1105" s="23">
        <v>45040</v>
      </c>
      <c r="C1105" s="22" t="s">
        <v>4034</v>
      </c>
      <c r="D1105" s="22" t="s">
        <v>63</v>
      </c>
      <c r="E1105" s="22">
        <v>4</v>
      </c>
      <c r="F1105" s="24">
        <v>276.32</v>
      </c>
      <c r="G1105" s="22" t="s">
        <v>405</v>
      </c>
      <c r="H1105" s="22" t="s">
        <v>79</v>
      </c>
      <c r="I1105" s="22" t="s">
        <v>69</v>
      </c>
      <c r="J1105" s="22" t="s">
        <v>4035</v>
      </c>
      <c r="K1105" s="22">
        <v>5</v>
      </c>
      <c r="L1105" s="22"/>
      <c r="M1105" s="22" t="s">
        <v>88</v>
      </c>
      <c r="N1105" s="24">
        <v>1105.28</v>
      </c>
      <c r="O1105" s="22">
        <f>YEAR(B1105)</f>
        <v>2023</v>
      </c>
      <c r="P1105" s="25">
        <f>DATE(YEAR(B1105),MONTH(B1105),1)</f>
        <v>45017</v>
      </c>
      <c r="Q1105" s="22" t="str">
        <f>IF(N1105&gt;Summary!$C$17,"Outlier","")</f>
        <v/>
      </c>
      <c r="R1105" s="22" t="str">
        <f>IF(L1105="","None",L1105)</f>
        <v>None</v>
      </c>
    </row>
    <row r="1106" spans="1:18" x14ac:dyDescent="0.2">
      <c r="A1106" s="22" t="s">
        <v>4036</v>
      </c>
      <c r="B1106" s="23">
        <v>45498</v>
      </c>
      <c r="C1106" s="22" t="s">
        <v>4037</v>
      </c>
      <c r="D1106" s="22" t="s">
        <v>64</v>
      </c>
      <c r="E1106" s="22">
        <v>4</v>
      </c>
      <c r="F1106" s="24">
        <v>314.76</v>
      </c>
      <c r="G1106" s="22" t="s">
        <v>4038</v>
      </c>
      <c r="H1106" s="22" t="s">
        <v>79</v>
      </c>
      <c r="I1106" s="22" t="s">
        <v>70</v>
      </c>
      <c r="J1106" s="22" t="s">
        <v>4039</v>
      </c>
      <c r="K1106" s="22">
        <v>8</v>
      </c>
      <c r="L1106" s="22"/>
      <c r="M1106" s="22" t="s">
        <v>89</v>
      </c>
      <c r="N1106" s="24">
        <v>1259.04</v>
      </c>
      <c r="O1106" s="22">
        <f>YEAR(B1106)</f>
        <v>2024</v>
      </c>
      <c r="P1106" s="25">
        <f>DATE(YEAR(B1106),MONTH(B1106),1)</f>
        <v>45474</v>
      </c>
      <c r="Q1106" s="22" t="str">
        <f>IF(N1106&gt;Summary!$C$17,"Outlier","")</f>
        <v/>
      </c>
      <c r="R1106" s="22" t="str">
        <f>IF(L1106="","None",L1106)</f>
        <v>None</v>
      </c>
    </row>
    <row r="1107" spans="1:18" x14ac:dyDescent="0.2">
      <c r="A1107" s="22" t="s">
        <v>4040</v>
      </c>
      <c r="B1107" s="23">
        <v>45299</v>
      </c>
      <c r="C1107" s="22" t="s">
        <v>4041</v>
      </c>
      <c r="D1107" s="22" t="s">
        <v>64</v>
      </c>
      <c r="E1107" s="22">
        <v>3</v>
      </c>
      <c r="F1107" s="24">
        <v>475.69</v>
      </c>
      <c r="G1107" s="22" t="s">
        <v>1174</v>
      </c>
      <c r="H1107" s="22" t="s">
        <v>78</v>
      </c>
      <c r="I1107" s="22" t="s">
        <v>73</v>
      </c>
      <c r="J1107" s="22" t="s">
        <v>4042</v>
      </c>
      <c r="K1107" s="22">
        <v>3</v>
      </c>
      <c r="L1107" s="22" t="s">
        <v>82</v>
      </c>
      <c r="M1107" s="22" t="s">
        <v>88</v>
      </c>
      <c r="N1107" s="24">
        <v>1427.07</v>
      </c>
      <c r="O1107" s="22">
        <f>YEAR(B1107)</f>
        <v>2024</v>
      </c>
      <c r="P1107" s="25">
        <f>DATE(YEAR(B1107),MONTH(B1107),1)</f>
        <v>45292</v>
      </c>
      <c r="Q1107" s="22" t="str">
        <f>IF(N1107&gt;Summary!$C$17,"Outlier","")</f>
        <v/>
      </c>
      <c r="R1107" s="22" t="str">
        <f>IF(L1107="","None",L1107)</f>
        <v>FREESHIP</v>
      </c>
    </row>
    <row r="1108" spans="1:18" x14ac:dyDescent="0.2">
      <c r="A1108" s="22" t="s">
        <v>4043</v>
      </c>
      <c r="B1108" s="23">
        <v>44997</v>
      </c>
      <c r="C1108" s="22" t="s">
        <v>4044</v>
      </c>
      <c r="D1108" s="22" t="s">
        <v>61</v>
      </c>
      <c r="E1108" s="22">
        <v>1</v>
      </c>
      <c r="F1108" s="24">
        <v>372.8</v>
      </c>
      <c r="G1108" s="22" t="s">
        <v>171</v>
      </c>
      <c r="H1108" s="22" t="s">
        <v>75</v>
      </c>
      <c r="I1108" s="22" t="s">
        <v>73</v>
      </c>
      <c r="J1108" s="22" t="s">
        <v>4045</v>
      </c>
      <c r="K1108" s="22">
        <v>6</v>
      </c>
      <c r="L1108" s="22" t="s">
        <v>83</v>
      </c>
      <c r="M1108" s="22" t="s">
        <v>87</v>
      </c>
      <c r="N1108" s="24">
        <v>372.8</v>
      </c>
      <c r="O1108" s="22">
        <f>YEAR(B1108)</f>
        <v>2023</v>
      </c>
      <c r="P1108" s="25">
        <f>DATE(YEAR(B1108),MONTH(B1108),1)</f>
        <v>44986</v>
      </c>
      <c r="Q1108" s="22" t="str">
        <f>IF(N1108&gt;Summary!$C$17,"Outlier","")</f>
        <v/>
      </c>
      <c r="R1108" s="22" t="str">
        <f>IF(L1108="","None",L1108)</f>
        <v>SAVE10</v>
      </c>
    </row>
    <row r="1109" spans="1:18" x14ac:dyDescent="0.2">
      <c r="A1109" s="22" t="s">
        <v>4046</v>
      </c>
      <c r="B1109" s="23">
        <v>45838</v>
      </c>
      <c r="C1109" s="22" t="s">
        <v>4047</v>
      </c>
      <c r="D1109" s="22" t="s">
        <v>64</v>
      </c>
      <c r="E1109" s="22">
        <v>2</v>
      </c>
      <c r="F1109" s="24">
        <v>63.21</v>
      </c>
      <c r="G1109" s="22" t="s">
        <v>2364</v>
      </c>
      <c r="H1109" s="22" t="s">
        <v>79</v>
      </c>
      <c r="I1109" s="22" t="s">
        <v>73</v>
      </c>
      <c r="J1109" s="22" t="s">
        <v>4048</v>
      </c>
      <c r="K1109" s="22">
        <v>4</v>
      </c>
      <c r="L1109" s="22" t="s">
        <v>83</v>
      </c>
      <c r="M1109" s="22" t="s">
        <v>88</v>
      </c>
      <c r="N1109" s="24">
        <v>126.42</v>
      </c>
      <c r="O1109" s="22">
        <f>YEAR(B1109)</f>
        <v>2025</v>
      </c>
      <c r="P1109" s="25">
        <f>DATE(YEAR(B1109),MONTH(B1109),1)</f>
        <v>45809</v>
      </c>
      <c r="Q1109" s="22" t="str">
        <f>IF(N1109&gt;Summary!$C$17,"Outlier","")</f>
        <v/>
      </c>
      <c r="R1109" s="22" t="str">
        <f>IF(L1109="","None",L1109)</f>
        <v>SAVE10</v>
      </c>
    </row>
    <row r="1110" spans="1:18" x14ac:dyDescent="0.2">
      <c r="A1110" s="22" t="s">
        <v>4049</v>
      </c>
      <c r="B1110" s="23">
        <v>45005</v>
      </c>
      <c r="C1110" s="22" t="s">
        <v>4050</v>
      </c>
      <c r="D1110" s="22" t="s">
        <v>63</v>
      </c>
      <c r="E1110" s="22">
        <v>1</v>
      </c>
      <c r="F1110" s="24">
        <v>634.94000000000005</v>
      </c>
      <c r="G1110" s="22" t="s">
        <v>4051</v>
      </c>
      <c r="H1110" s="22" t="s">
        <v>79</v>
      </c>
      <c r="I1110" s="22" t="s">
        <v>73</v>
      </c>
      <c r="J1110" s="22" t="s">
        <v>4052</v>
      </c>
      <c r="K1110" s="22">
        <v>5</v>
      </c>
      <c r="L1110" s="22" t="s">
        <v>84</v>
      </c>
      <c r="M1110" s="22" t="s">
        <v>89</v>
      </c>
      <c r="N1110" s="24">
        <v>634.94000000000005</v>
      </c>
      <c r="O1110" s="22">
        <f>YEAR(B1110)</f>
        <v>2023</v>
      </c>
      <c r="P1110" s="25">
        <f>DATE(YEAR(B1110),MONTH(B1110),1)</f>
        <v>44986</v>
      </c>
      <c r="Q1110" s="22" t="str">
        <f>IF(N1110&gt;Summary!$C$17,"Outlier","")</f>
        <v/>
      </c>
      <c r="R1110" s="22" t="str">
        <f>IF(L1110="","None",L1110)</f>
        <v>WINTER15</v>
      </c>
    </row>
    <row r="1111" spans="1:18" x14ac:dyDescent="0.2">
      <c r="A1111" s="22" t="s">
        <v>4053</v>
      </c>
      <c r="B1111" s="23">
        <v>45390</v>
      </c>
      <c r="C1111" s="22" t="s">
        <v>4054</v>
      </c>
      <c r="D1111" s="22" t="s">
        <v>62</v>
      </c>
      <c r="E1111" s="22">
        <v>4</v>
      </c>
      <c r="F1111" s="24">
        <v>77.47</v>
      </c>
      <c r="G1111" s="22" t="s">
        <v>1854</v>
      </c>
      <c r="H1111" s="22" t="s">
        <v>78</v>
      </c>
      <c r="I1111" s="22" t="s">
        <v>72</v>
      </c>
      <c r="J1111" s="22" t="s">
        <v>4055</v>
      </c>
      <c r="K1111" s="22">
        <v>7</v>
      </c>
      <c r="L1111" s="22" t="s">
        <v>83</v>
      </c>
      <c r="M1111" s="22" t="s">
        <v>89</v>
      </c>
      <c r="N1111" s="24">
        <v>309.88</v>
      </c>
      <c r="O1111" s="22">
        <f>YEAR(B1111)</f>
        <v>2024</v>
      </c>
      <c r="P1111" s="25">
        <f>DATE(YEAR(B1111),MONTH(B1111),1)</f>
        <v>45383</v>
      </c>
      <c r="Q1111" s="22" t="str">
        <f>IF(N1111&gt;Summary!$C$17,"Outlier","")</f>
        <v/>
      </c>
      <c r="R1111" s="22" t="str">
        <f>IF(L1111="","None",L1111)</f>
        <v>SAVE10</v>
      </c>
    </row>
    <row r="1112" spans="1:18" x14ac:dyDescent="0.2">
      <c r="A1112" s="22" t="s">
        <v>4056</v>
      </c>
      <c r="B1112" s="23">
        <v>45347</v>
      </c>
      <c r="C1112" s="22" t="s">
        <v>4057</v>
      </c>
      <c r="D1112" s="22" t="s">
        <v>61</v>
      </c>
      <c r="E1112" s="22">
        <v>3</v>
      </c>
      <c r="F1112" s="24">
        <v>84.31</v>
      </c>
      <c r="G1112" s="22" t="s">
        <v>251</v>
      </c>
      <c r="H1112" s="22" t="s">
        <v>76</v>
      </c>
      <c r="I1112" s="22" t="s">
        <v>70</v>
      </c>
      <c r="J1112" s="22" t="s">
        <v>4058</v>
      </c>
      <c r="K1112" s="22">
        <v>3</v>
      </c>
      <c r="L1112" s="22" t="s">
        <v>83</v>
      </c>
      <c r="M1112" s="22" t="s">
        <v>86</v>
      </c>
      <c r="N1112" s="24">
        <v>252.93</v>
      </c>
      <c r="O1112" s="22">
        <f>YEAR(B1112)</f>
        <v>2024</v>
      </c>
      <c r="P1112" s="25">
        <f>DATE(YEAR(B1112),MONTH(B1112),1)</f>
        <v>45323</v>
      </c>
      <c r="Q1112" s="22" t="str">
        <f>IF(N1112&gt;Summary!$C$17,"Outlier","")</f>
        <v/>
      </c>
      <c r="R1112" s="22" t="str">
        <f>IF(L1112="","None",L1112)</f>
        <v>SAVE10</v>
      </c>
    </row>
    <row r="1113" spans="1:18" x14ac:dyDescent="0.2">
      <c r="A1113" s="22" t="s">
        <v>4059</v>
      </c>
      <c r="B1113" s="23">
        <v>45052</v>
      </c>
      <c r="C1113" s="22" t="s">
        <v>4060</v>
      </c>
      <c r="D1113" s="22" t="s">
        <v>65</v>
      </c>
      <c r="E1113" s="22">
        <v>4</v>
      </c>
      <c r="F1113" s="24">
        <v>234.45</v>
      </c>
      <c r="G1113" s="22" t="s">
        <v>4061</v>
      </c>
      <c r="H1113" s="22" t="s">
        <v>79</v>
      </c>
      <c r="I1113" s="22" t="s">
        <v>73</v>
      </c>
      <c r="J1113" s="22" t="s">
        <v>4062</v>
      </c>
      <c r="K1113" s="22">
        <v>9</v>
      </c>
      <c r="L1113" s="22" t="s">
        <v>82</v>
      </c>
      <c r="M1113" s="22" t="s">
        <v>89</v>
      </c>
      <c r="N1113" s="24">
        <v>937.8</v>
      </c>
      <c r="O1113" s="22">
        <f>YEAR(B1113)</f>
        <v>2023</v>
      </c>
      <c r="P1113" s="25">
        <f>DATE(YEAR(B1113),MONTH(B1113),1)</f>
        <v>45047</v>
      </c>
      <c r="Q1113" s="22" t="str">
        <f>IF(N1113&gt;Summary!$C$17,"Outlier","")</f>
        <v/>
      </c>
      <c r="R1113" s="22" t="str">
        <f>IF(L1113="","None",L1113)</f>
        <v>FREESHIP</v>
      </c>
    </row>
    <row r="1114" spans="1:18" x14ac:dyDescent="0.2">
      <c r="A1114" s="22" t="s">
        <v>4063</v>
      </c>
      <c r="B1114" s="23">
        <v>45212</v>
      </c>
      <c r="C1114" s="22" t="s">
        <v>4064</v>
      </c>
      <c r="D1114" s="22" t="s">
        <v>66</v>
      </c>
      <c r="E1114" s="22">
        <v>1</v>
      </c>
      <c r="F1114" s="24">
        <v>356.81</v>
      </c>
      <c r="G1114" s="22" t="s">
        <v>606</v>
      </c>
      <c r="H1114" s="22" t="s">
        <v>79</v>
      </c>
      <c r="I1114" s="22" t="s">
        <v>69</v>
      </c>
      <c r="J1114" s="22" t="s">
        <v>4065</v>
      </c>
      <c r="K1114" s="22">
        <v>1</v>
      </c>
      <c r="L1114" s="22" t="s">
        <v>84</v>
      </c>
      <c r="M1114" s="22" t="s">
        <v>89</v>
      </c>
      <c r="N1114" s="24">
        <v>356.81</v>
      </c>
      <c r="O1114" s="22">
        <f>YEAR(B1114)</f>
        <v>2023</v>
      </c>
      <c r="P1114" s="25">
        <f>DATE(YEAR(B1114),MONTH(B1114),1)</f>
        <v>45200</v>
      </c>
      <c r="Q1114" s="22" t="str">
        <f>IF(N1114&gt;Summary!$C$17,"Outlier","")</f>
        <v/>
      </c>
      <c r="R1114" s="22" t="str">
        <f>IF(L1114="","None",L1114)</f>
        <v>WINTER15</v>
      </c>
    </row>
    <row r="1115" spans="1:18" x14ac:dyDescent="0.2">
      <c r="A1115" s="22" t="s">
        <v>4066</v>
      </c>
      <c r="B1115" s="23">
        <v>45004</v>
      </c>
      <c r="C1115" s="22" t="s">
        <v>4067</v>
      </c>
      <c r="D1115" s="22" t="s">
        <v>66</v>
      </c>
      <c r="E1115" s="22">
        <v>4</v>
      </c>
      <c r="F1115" s="24">
        <v>209.99</v>
      </c>
      <c r="G1115" s="22" t="s">
        <v>3477</v>
      </c>
      <c r="H1115" s="22" t="s">
        <v>75</v>
      </c>
      <c r="I1115" s="22" t="s">
        <v>69</v>
      </c>
      <c r="J1115" s="22" t="s">
        <v>4068</v>
      </c>
      <c r="K1115" s="22">
        <v>8</v>
      </c>
      <c r="L1115" s="22"/>
      <c r="M1115" s="22" t="s">
        <v>88</v>
      </c>
      <c r="N1115" s="24">
        <v>839.96</v>
      </c>
      <c r="O1115" s="22">
        <f>YEAR(B1115)</f>
        <v>2023</v>
      </c>
      <c r="P1115" s="25">
        <f>DATE(YEAR(B1115),MONTH(B1115),1)</f>
        <v>44986</v>
      </c>
      <c r="Q1115" s="22" t="str">
        <f>IF(N1115&gt;Summary!$C$17,"Outlier","")</f>
        <v/>
      </c>
      <c r="R1115" s="22" t="str">
        <f>IF(L1115="","None",L1115)</f>
        <v>None</v>
      </c>
    </row>
    <row r="1116" spans="1:18" x14ac:dyDescent="0.2">
      <c r="A1116" s="22" t="s">
        <v>4069</v>
      </c>
      <c r="B1116" s="23">
        <v>45001</v>
      </c>
      <c r="C1116" s="22" t="s">
        <v>4070</v>
      </c>
      <c r="D1116" s="22" t="s">
        <v>64</v>
      </c>
      <c r="E1116" s="22">
        <v>3</v>
      </c>
      <c r="F1116" s="24">
        <v>659.88</v>
      </c>
      <c r="G1116" s="22" t="s">
        <v>914</v>
      </c>
      <c r="H1116" s="22" t="s">
        <v>78</v>
      </c>
      <c r="I1116" s="22" t="s">
        <v>73</v>
      </c>
      <c r="J1116" s="22" t="s">
        <v>4071</v>
      </c>
      <c r="K1116" s="22">
        <v>3</v>
      </c>
      <c r="L1116" s="22"/>
      <c r="M1116" s="22" t="s">
        <v>88</v>
      </c>
      <c r="N1116" s="24">
        <v>1979.64</v>
      </c>
      <c r="O1116" s="22">
        <f>YEAR(B1116)</f>
        <v>2023</v>
      </c>
      <c r="P1116" s="25">
        <f>DATE(YEAR(B1116),MONTH(B1116),1)</f>
        <v>44986</v>
      </c>
      <c r="Q1116" s="22" t="str">
        <f>IF(N1116&gt;Summary!$C$17,"Outlier","")</f>
        <v/>
      </c>
      <c r="R1116" s="22" t="str">
        <f>IF(L1116="","None",L1116)</f>
        <v>None</v>
      </c>
    </row>
    <row r="1117" spans="1:18" x14ac:dyDescent="0.2">
      <c r="A1117" s="22" t="s">
        <v>4072</v>
      </c>
      <c r="B1117" s="23">
        <v>45828</v>
      </c>
      <c r="C1117" s="22" t="s">
        <v>4073</v>
      </c>
      <c r="D1117" s="22" t="s">
        <v>63</v>
      </c>
      <c r="E1117" s="22">
        <v>2</v>
      </c>
      <c r="F1117" s="24">
        <v>336.32</v>
      </c>
      <c r="G1117" s="22" t="s">
        <v>1029</v>
      </c>
      <c r="H1117" s="22" t="s">
        <v>79</v>
      </c>
      <c r="I1117" s="22" t="s">
        <v>72</v>
      </c>
      <c r="J1117" s="22" t="s">
        <v>4074</v>
      </c>
      <c r="K1117" s="22">
        <v>3</v>
      </c>
      <c r="L1117" s="22"/>
      <c r="M1117" s="22" t="s">
        <v>88</v>
      </c>
      <c r="N1117" s="24">
        <v>672.64</v>
      </c>
      <c r="O1117" s="22">
        <f>YEAR(B1117)</f>
        <v>2025</v>
      </c>
      <c r="P1117" s="25">
        <f>DATE(YEAR(B1117),MONTH(B1117),1)</f>
        <v>45809</v>
      </c>
      <c r="Q1117" s="22" t="str">
        <f>IF(N1117&gt;Summary!$C$17,"Outlier","")</f>
        <v/>
      </c>
      <c r="R1117" s="22" t="str">
        <f>IF(L1117="","None",L1117)</f>
        <v>None</v>
      </c>
    </row>
    <row r="1118" spans="1:18" x14ac:dyDescent="0.2">
      <c r="A1118" s="22" t="s">
        <v>4075</v>
      </c>
      <c r="B1118" s="23">
        <v>45213</v>
      </c>
      <c r="C1118" s="22" t="s">
        <v>4076</v>
      </c>
      <c r="D1118" s="22" t="s">
        <v>62</v>
      </c>
      <c r="E1118" s="22">
        <v>2</v>
      </c>
      <c r="F1118" s="24">
        <v>531.49</v>
      </c>
      <c r="G1118" s="22" t="s">
        <v>1029</v>
      </c>
      <c r="H1118" s="22" t="s">
        <v>76</v>
      </c>
      <c r="I1118" s="22" t="s">
        <v>69</v>
      </c>
      <c r="J1118" s="22" t="s">
        <v>4077</v>
      </c>
      <c r="K1118" s="22">
        <v>7</v>
      </c>
      <c r="L1118" s="22" t="s">
        <v>84</v>
      </c>
      <c r="M1118" s="22" t="s">
        <v>87</v>
      </c>
      <c r="N1118" s="24">
        <v>1062.98</v>
      </c>
      <c r="O1118" s="22">
        <f>YEAR(B1118)</f>
        <v>2023</v>
      </c>
      <c r="P1118" s="25">
        <f>DATE(YEAR(B1118),MONTH(B1118),1)</f>
        <v>45200</v>
      </c>
      <c r="Q1118" s="22" t="str">
        <f>IF(N1118&gt;Summary!$C$17,"Outlier","")</f>
        <v/>
      </c>
      <c r="R1118" s="22" t="str">
        <f>IF(L1118="","None",L1118)</f>
        <v>WINTER15</v>
      </c>
    </row>
    <row r="1119" spans="1:18" x14ac:dyDescent="0.2">
      <c r="A1119" s="22" t="s">
        <v>4078</v>
      </c>
      <c r="B1119" s="23">
        <v>45432</v>
      </c>
      <c r="C1119" s="22" t="s">
        <v>4079</v>
      </c>
      <c r="D1119" s="22" t="s">
        <v>61</v>
      </c>
      <c r="E1119" s="22">
        <v>3</v>
      </c>
      <c r="F1119" s="24">
        <v>588.44000000000005</v>
      </c>
      <c r="G1119" s="22" t="s">
        <v>1646</v>
      </c>
      <c r="H1119" s="22" t="s">
        <v>78</v>
      </c>
      <c r="I1119" s="22" t="s">
        <v>70</v>
      </c>
      <c r="J1119" s="22" t="s">
        <v>4080</v>
      </c>
      <c r="K1119" s="22">
        <v>8</v>
      </c>
      <c r="L1119" s="22" t="s">
        <v>84</v>
      </c>
      <c r="M1119" s="22" t="s">
        <v>88</v>
      </c>
      <c r="N1119" s="24">
        <v>1765.32</v>
      </c>
      <c r="O1119" s="22">
        <f>YEAR(B1119)</f>
        <v>2024</v>
      </c>
      <c r="P1119" s="25">
        <f>DATE(YEAR(B1119),MONTH(B1119),1)</f>
        <v>45413</v>
      </c>
      <c r="Q1119" s="22" t="str">
        <f>IF(N1119&gt;Summary!$C$17,"Outlier","")</f>
        <v/>
      </c>
      <c r="R1119" s="22" t="str">
        <f>IF(L1119="","None",L1119)</f>
        <v>WINTER15</v>
      </c>
    </row>
    <row r="1120" spans="1:18" x14ac:dyDescent="0.2">
      <c r="A1120" s="22" t="s">
        <v>4081</v>
      </c>
      <c r="B1120" s="23">
        <v>45436</v>
      </c>
      <c r="C1120" s="22" t="s">
        <v>4082</v>
      </c>
      <c r="D1120" s="22" t="s">
        <v>67</v>
      </c>
      <c r="E1120" s="22">
        <v>3</v>
      </c>
      <c r="F1120" s="24">
        <v>251.48</v>
      </c>
      <c r="G1120" s="22" t="s">
        <v>1617</v>
      </c>
      <c r="H1120" s="22" t="s">
        <v>76</v>
      </c>
      <c r="I1120" s="22" t="s">
        <v>72</v>
      </c>
      <c r="J1120" s="22" t="s">
        <v>4083</v>
      </c>
      <c r="K1120" s="22">
        <v>4</v>
      </c>
      <c r="L1120" s="22"/>
      <c r="M1120" s="22" t="s">
        <v>86</v>
      </c>
      <c r="N1120" s="24">
        <v>754.44</v>
      </c>
      <c r="O1120" s="22">
        <f>YEAR(B1120)</f>
        <v>2024</v>
      </c>
      <c r="P1120" s="25">
        <f>DATE(YEAR(B1120),MONTH(B1120),1)</f>
        <v>45413</v>
      </c>
      <c r="Q1120" s="22" t="str">
        <f>IF(N1120&gt;Summary!$C$17,"Outlier","")</f>
        <v/>
      </c>
      <c r="R1120" s="22" t="str">
        <f>IF(L1120="","None",L1120)</f>
        <v>None</v>
      </c>
    </row>
    <row r="1121" spans="1:18" x14ac:dyDescent="0.2">
      <c r="A1121" s="22" t="s">
        <v>4084</v>
      </c>
      <c r="B1121" s="23">
        <v>45620</v>
      </c>
      <c r="C1121" s="22" t="s">
        <v>4085</v>
      </c>
      <c r="D1121" s="22" t="s">
        <v>63</v>
      </c>
      <c r="E1121" s="22">
        <v>1</v>
      </c>
      <c r="F1121" s="24">
        <v>684.65</v>
      </c>
      <c r="G1121" s="22" t="s">
        <v>1131</v>
      </c>
      <c r="H1121" s="22" t="s">
        <v>76</v>
      </c>
      <c r="I1121" s="22" t="s">
        <v>69</v>
      </c>
      <c r="J1121" s="22" t="s">
        <v>4086</v>
      </c>
      <c r="K1121" s="22">
        <v>1</v>
      </c>
      <c r="L1121" s="22" t="s">
        <v>82</v>
      </c>
      <c r="M1121" s="22" t="s">
        <v>86</v>
      </c>
      <c r="N1121" s="24">
        <v>684.65</v>
      </c>
      <c r="O1121" s="22">
        <f>YEAR(B1121)</f>
        <v>2024</v>
      </c>
      <c r="P1121" s="25">
        <f>DATE(YEAR(B1121),MONTH(B1121),1)</f>
        <v>45597</v>
      </c>
      <c r="Q1121" s="22" t="str">
        <f>IF(N1121&gt;Summary!$C$17,"Outlier","")</f>
        <v/>
      </c>
      <c r="R1121" s="22" t="str">
        <f>IF(L1121="","None",L1121)</f>
        <v>FREESHIP</v>
      </c>
    </row>
    <row r="1122" spans="1:18" x14ac:dyDescent="0.2">
      <c r="A1122" s="22" t="s">
        <v>4087</v>
      </c>
      <c r="B1122" s="23">
        <v>45787</v>
      </c>
      <c r="C1122" s="22" t="s">
        <v>4088</v>
      </c>
      <c r="D1122" s="22" t="s">
        <v>64</v>
      </c>
      <c r="E1122" s="22">
        <v>1</v>
      </c>
      <c r="F1122" s="24">
        <v>195.86</v>
      </c>
      <c r="G1122" s="22" t="s">
        <v>279</v>
      </c>
      <c r="H1122" s="22" t="s">
        <v>79</v>
      </c>
      <c r="I1122" s="22" t="s">
        <v>71</v>
      </c>
      <c r="J1122" s="22" t="s">
        <v>4089</v>
      </c>
      <c r="K1122" s="22">
        <v>3</v>
      </c>
      <c r="L1122" s="22"/>
      <c r="M1122" s="22" t="s">
        <v>87</v>
      </c>
      <c r="N1122" s="24">
        <v>195.86</v>
      </c>
      <c r="O1122" s="22">
        <f>YEAR(B1122)</f>
        <v>2025</v>
      </c>
      <c r="P1122" s="25">
        <f>DATE(YEAR(B1122),MONTH(B1122),1)</f>
        <v>45778</v>
      </c>
      <c r="Q1122" s="22" t="str">
        <f>IF(N1122&gt;Summary!$C$17,"Outlier","")</f>
        <v/>
      </c>
      <c r="R1122" s="22" t="str">
        <f>IF(L1122="","None",L1122)</f>
        <v>None</v>
      </c>
    </row>
    <row r="1123" spans="1:18" x14ac:dyDescent="0.2">
      <c r="A1123" s="22" t="s">
        <v>4090</v>
      </c>
      <c r="B1123" s="23">
        <v>45074</v>
      </c>
      <c r="C1123" s="22" t="s">
        <v>4091</v>
      </c>
      <c r="D1123" s="22" t="s">
        <v>67</v>
      </c>
      <c r="E1123" s="22">
        <v>3</v>
      </c>
      <c r="F1123" s="24">
        <v>50.34</v>
      </c>
      <c r="G1123" s="22" t="s">
        <v>3298</v>
      </c>
      <c r="H1123" s="22" t="s">
        <v>78</v>
      </c>
      <c r="I1123" s="22" t="s">
        <v>72</v>
      </c>
      <c r="J1123" s="22" t="s">
        <v>4092</v>
      </c>
      <c r="K1123" s="22">
        <v>3</v>
      </c>
      <c r="L1123" s="22" t="s">
        <v>82</v>
      </c>
      <c r="M1123" s="22" t="s">
        <v>89</v>
      </c>
      <c r="N1123" s="24">
        <v>151.02000000000001</v>
      </c>
      <c r="O1123" s="22">
        <f>YEAR(B1123)</f>
        <v>2023</v>
      </c>
      <c r="P1123" s="25">
        <f>DATE(YEAR(B1123),MONTH(B1123),1)</f>
        <v>45047</v>
      </c>
      <c r="Q1123" s="22" t="str">
        <f>IF(N1123&gt;Summary!$C$17,"Outlier","")</f>
        <v/>
      </c>
      <c r="R1123" s="22" t="str">
        <f>IF(L1123="","None",L1123)</f>
        <v>FREESHIP</v>
      </c>
    </row>
    <row r="1124" spans="1:18" x14ac:dyDescent="0.2">
      <c r="A1124" s="22" t="s">
        <v>96</v>
      </c>
      <c r="B1124" s="23">
        <v>45084</v>
      </c>
      <c r="C1124" s="22" t="s">
        <v>1142</v>
      </c>
      <c r="D1124" s="22" t="s">
        <v>65</v>
      </c>
      <c r="E1124" s="22">
        <v>5</v>
      </c>
      <c r="F1124" s="24">
        <v>678.19</v>
      </c>
      <c r="G1124" s="22" t="s">
        <v>3805</v>
      </c>
      <c r="H1124" s="22" t="s">
        <v>79</v>
      </c>
      <c r="I1124" s="22" t="s">
        <v>72</v>
      </c>
      <c r="J1124" s="22" t="s">
        <v>4093</v>
      </c>
      <c r="K1124" s="22">
        <v>8</v>
      </c>
      <c r="L1124" s="22"/>
      <c r="M1124" s="22" t="s">
        <v>87</v>
      </c>
      <c r="N1124" s="24">
        <v>3390.95</v>
      </c>
      <c r="O1124" s="22">
        <f>YEAR(B1124)</f>
        <v>2023</v>
      </c>
      <c r="P1124" s="25">
        <f>DATE(YEAR(B1124),MONTH(B1124),1)</f>
        <v>45078</v>
      </c>
      <c r="Q1124" s="22" t="str">
        <f>IF(N1124&gt;Summary!$C$17,"Outlier","")</f>
        <v>Outlier</v>
      </c>
      <c r="R1124" s="22" t="str">
        <f>IF(L1124="","None",L1124)</f>
        <v>None</v>
      </c>
    </row>
    <row r="1125" spans="1:18" x14ac:dyDescent="0.2">
      <c r="A1125" s="22" t="s">
        <v>4094</v>
      </c>
      <c r="B1125" s="23">
        <v>45030</v>
      </c>
      <c r="C1125" s="22" t="s">
        <v>4095</v>
      </c>
      <c r="D1125" s="22" t="s">
        <v>64</v>
      </c>
      <c r="E1125" s="22">
        <v>3</v>
      </c>
      <c r="F1125" s="24">
        <v>554.25</v>
      </c>
      <c r="G1125" s="22" t="s">
        <v>4096</v>
      </c>
      <c r="H1125" s="22" t="s">
        <v>77</v>
      </c>
      <c r="I1125" s="22" t="s">
        <v>70</v>
      </c>
      <c r="J1125" s="22" t="s">
        <v>4097</v>
      </c>
      <c r="K1125" s="22">
        <v>6</v>
      </c>
      <c r="L1125" s="22" t="s">
        <v>84</v>
      </c>
      <c r="M1125" s="22" t="s">
        <v>90</v>
      </c>
      <c r="N1125" s="24">
        <v>1662.75</v>
      </c>
      <c r="O1125" s="22">
        <f>YEAR(B1125)</f>
        <v>2023</v>
      </c>
      <c r="P1125" s="25">
        <f>DATE(YEAR(B1125),MONTH(B1125),1)</f>
        <v>45017</v>
      </c>
      <c r="Q1125" s="22" t="str">
        <f>IF(N1125&gt;Summary!$C$17,"Outlier","")</f>
        <v/>
      </c>
      <c r="R1125" s="22" t="str">
        <f>IF(L1125="","None",L1125)</f>
        <v>WINTER15</v>
      </c>
    </row>
    <row r="1126" spans="1:18" x14ac:dyDescent="0.2">
      <c r="A1126" s="22" t="s">
        <v>4098</v>
      </c>
      <c r="B1126" s="23">
        <v>45055</v>
      </c>
      <c r="C1126" s="22" t="s">
        <v>4099</v>
      </c>
      <c r="D1126" s="22" t="s">
        <v>61</v>
      </c>
      <c r="E1126" s="22">
        <v>4</v>
      </c>
      <c r="F1126" s="24">
        <v>576.87</v>
      </c>
      <c r="G1126" s="22" t="s">
        <v>4100</v>
      </c>
      <c r="H1126" s="22" t="s">
        <v>78</v>
      </c>
      <c r="I1126" s="22" t="s">
        <v>72</v>
      </c>
      <c r="J1126" s="22" t="s">
        <v>4101</v>
      </c>
      <c r="K1126" s="22">
        <v>5</v>
      </c>
      <c r="L1126" s="22"/>
      <c r="M1126" s="22" t="s">
        <v>89</v>
      </c>
      <c r="N1126" s="24">
        <v>2307.48</v>
      </c>
      <c r="O1126" s="22">
        <f>YEAR(B1126)</f>
        <v>2023</v>
      </c>
      <c r="P1126" s="25">
        <f>DATE(YEAR(B1126),MONTH(B1126),1)</f>
        <v>45047</v>
      </c>
      <c r="Q1126" s="22" t="str">
        <f>IF(N1126&gt;Summary!$C$17,"Outlier","")</f>
        <v/>
      </c>
      <c r="R1126" s="22" t="str">
        <f>IF(L1126="","None",L1126)</f>
        <v>None</v>
      </c>
    </row>
    <row r="1127" spans="1:18" x14ac:dyDescent="0.2">
      <c r="A1127" s="22" t="s">
        <v>4102</v>
      </c>
      <c r="B1127" s="23">
        <v>45215</v>
      </c>
      <c r="C1127" s="22" t="s">
        <v>4103</v>
      </c>
      <c r="D1127" s="22" t="s">
        <v>66</v>
      </c>
      <c r="E1127" s="22">
        <v>4</v>
      </c>
      <c r="F1127" s="24">
        <v>408.36</v>
      </c>
      <c r="G1127" s="22" t="s">
        <v>3252</v>
      </c>
      <c r="H1127" s="22" t="s">
        <v>78</v>
      </c>
      <c r="I1127" s="22" t="s">
        <v>73</v>
      </c>
      <c r="J1127" s="22" t="s">
        <v>4104</v>
      </c>
      <c r="K1127" s="22">
        <v>4</v>
      </c>
      <c r="L1127" s="22" t="s">
        <v>82</v>
      </c>
      <c r="M1127" s="22" t="s">
        <v>90</v>
      </c>
      <c r="N1127" s="24">
        <v>1633.44</v>
      </c>
      <c r="O1127" s="22">
        <f>YEAR(B1127)</f>
        <v>2023</v>
      </c>
      <c r="P1127" s="25">
        <f>DATE(YEAR(B1127),MONTH(B1127),1)</f>
        <v>45200</v>
      </c>
      <c r="Q1127" s="22" t="str">
        <f>IF(N1127&gt;Summary!$C$17,"Outlier","")</f>
        <v/>
      </c>
      <c r="R1127" s="22" t="str">
        <f>IF(L1127="","None",L1127)</f>
        <v>FREESHIP</v>
      </c>
    </row>
    <row r="1128" spans="1:18" x14ac:dyDescent="0.2">
      <c r="A1128" s="22" t="s">
        <v>4105</v>
      </c>
      <c r="B1128" s="23">
        <v>45495</v>
      </c>
      <c r="C1128" s="22" t="s">
        <v>4106</v>
      </c>
      <c r="D1128" s="22" t="s">
        <v>67</v>
      </c>
      <c r="E1128" s="22">
        <v>5</v>
      </c>
      <c r="F1128" s="24">
        <v>190.11</v>
      </c>
      <c r="G1128" s="22" t="s">
        <v>4107</v>
      </c>
      <c r="H1128" s="22" t="s">
        <v>75</v>
      </c>
      <c r="I1128" s="22" t="s">
        <v>69</v>
      </c>
      <c r="J1128" s="22" t="s">
        <v>4108</v>
      </c>
      <c r="K1128" s="22">
        <v>7</v>
      </c>
      <c r="L1128" s="22" t="s">
        <v>83</v>
      </c>
      <c r="M1128" s="22" t="s">
        <v>88</v>
      </c>
      <c r="N1128" s="24">
        <v>950.55</v>
      </c>
      <c r="O1128" s="22">
        <f>YEAR(B1128)</f>
        <v>2024</v>
      </c>
      <c r="P1128" s="25">
        <f>DATE(YEAR(B1128),MONTH(B1128),1)</f>
        <v>45474</v>
      </c>
      <c r="Q1128" s="22" t="str">
        <f>IF(N1128&gt;Summary!$C$17,"Outlier","")</f>
        <v/>
      </c>
      <c r="R1128" s="22" t="str">
        <f>IF(L1128="","None",L1128)</f>
        <v>SAVE10</v>
      </c>
    </row>
    <row r="1129" spans="1:18" x14ac:dyDescent="0.2">
      <c r="A1129" s="22" t="s">
        <v>4109</v>
      </c>
      <c r="B1129" s="23">
        <v>45731</v>
      </c>
      <c r="C1129" s="22" t="s">
        <v>4110</v>
      </c>
      <c r="D1129" s="22" t="s">
        <v>62</v>
      </c>
      <c r="E1129" s="22">
        <v>3</v>
      </c>
      <c r="F1129" s="24">
        <v>602.75</v>
      </c>
      <c r="G1129" s="22" t="s">
        <v>3083</v>
      </c>
      <c r="H1129" s="22" t="s">
        <v>76</v>
      </c>
      <c r="I1129" s="22" t="s">
        <v>70</v>
      </c>
      <c r="J1129" s="22" t="s">
        <v>4111</v>
      </c>
      <c r="K1129" s="22">
        <v>6</v>
      </c>
      <c r="L1129" s="22" t="s">
        <v>83</v>
      </c>
      <c r="M1129" s="22" t="s">
        <v>86</v>
      </c>
      <c r="N1129" s="24">
        <v>1808.25</v>
      </c>
      <c r="O1129" s="22">
        <f>YEAR(B1129)</f>
        <v>2025</v>
      </c>
      <c r="P1129" s="25">
        <f>DATE(YEAR(B1129),MONTH(B1129),1)</f>
        <v>45717</v>
      </c>
      <c r="Q1129" s="22" t="str">
        <f>IF(N1129&gt;Summary!$C$17,"Outlier","")</f>
        <v/>
      </c>
      <c r="R1129" s="22" t="str">
        <f>IF(L1129="","None",L1129)</f>
        <v>SAVE10</v>
      </c>
    </row>
    <row r="1130" spans="1:18" x14ac:dyDescent="0.2">
      <c r="A1130" s="22" t="s">
        <v>4112</v>
      </c>
      <c r="B1130" s="23">
        <v>45155</v>
      </c>
      <c r="C1130" s="22" t="s">
        <v>4113</v>
      </c>
      <c r="D1130" s="22" t="s">
        <v>65</v>
      </c>
      <c r="E1130" s="22">
        <v>3</v>
      </c>
      <c r="F1130" s="24">
        <v>646.79</v>
      </c>
      <c r="G1130" s="22" t="s">
        <v>457</v>
      </c>
      <c r="H1130" s="22" t="s">
        <v>75</v>
      </c>
      <c r="I1130" s="22" t="s">
        <v>73</v>
      </c>
      <c r="J1130" s="22" t="s">
        <v>4114</v>
      </c>
      <c r="K1130" s="22">
        <v>5</v>
      </c>
      <c r="L1130" s="22" t="s">
        <v>84</v>
      </c>
      <c r="M1130" s="22" t="s">
        <v>88</v>
      </c>
      <c r="N1130" s="24">
        <v>1940.37</v>
      </c>
      <c r="O1130" s="22">
        <f>YEAR(B1130)</f>
        <v>2023</v>
      </c>
      <c r="P1130" s="25">
        <f>DATE(YEAR(B1130),MONTH(B1130),1)</f>
        <v>45139</v>
      </c>
      <c r="Q1130" s="22" t="str">
        <f>IF(N1130&gt;Summary!$C$17,"Outlier","")</f>
        <v/>
      </c>
      <c r="R1130" s="22" t="str">
        <f>IF(L1130="","None",L1130)</f>
        <v>WINTER15</v>
      </c>
    </row>
    <row r="1131" spans="1:18" x14ac:dyDescent="0.2">
      <c r="A1131" s="22" t="s">
        <v>4115</v>
      </c>
      <c r="B1131" s="23">
        <v>45088</v>
      </c>
      <c r="C1131" s="22" t="s">
        <v>4116</v>
      </c>
      <c r="D1131" s="22" t="s">
        <v>61</v>
      </c>
      <c r="E1131" s="22">
        <v>4</v>
      </c>
      <c r="F1131" s="24">
        <v>418.71</v>
      </c>
      <c r="G1131" s="22" t="s">
        <v>417</v>
      </c>
      <c r="H1131" s="22" t="s">
        <v>75</v>
      </c>
      <c r="I1131" s="22" t="s">
        <v>71</v>
      </c>
      <c r="J1131" s="22" t="s">
        <v>4117</v>
      </c>
      <c r="K1131" s="22">
        <v>8</v>
      </c>
      <c r="L1131" s="22" t="s">
        <v>82</v>
      </c>
      <c r="M1131" s="22" t="s">
        <v>89</v>
      </c>
      <c r="N1131" s="24">
        <v>1674.84</v>
      </c>
      <c r="O1131" s="22">
        <f>YEAR(B1131)</f>
        <v>2023</v>
      </c>
      <c r="P1131" s="25">
        <f>DATE(YEAR(B1131),MONTH(B1131),1)</f>
        <v>45078</v>
      </c>
      <c r="Q1131" s="22" t="str">
        <f>IF(N1131&gt;Summary!$C$17,"Outlier","")</f>
        <v/>
      </c>
      <c r="R1131" s="22" t="str">
        <f>IF(L1131="","None",L1131)</f>
        <v>FREESHIP</v>
      </c>
    </row>
    <row r="1132" spans="1:18" x14ac:dyDescent="0.2">
      <c r="A1132" s="22" t="s">
        <v>4118</v>
      </c>
      <c r="B1132" s="23">
        <v>45704</v>
      </c>
      <c r="C1132" s="22" t="s">
        <v>4119</v>
      </c>
      <c r="D1132" s="22" t="s">
        <v>63</v>
      </c>
      <c r="E1132" s="22">
        <v>2</v>
      </c>
      <c r="F1132" s="24">
        <v>323.45</v>
      </c>
      <c r="G1132" s="22" t="s">
        <v>504</v>
      </c>
      <c r="H1132" s="22" t="s">
        <v>76</v>
      </c>
      <c r="I1132" s="22" t="s">
        <v>72</v>
      </c>
      <c r="J1132" s="22" t="s">
        <v>4120</v>
      </c>
      <c r="K1132" s="22">
        <v>5</v>
      </c>
      <c r="L1132" s="22" t="s">
        <v>82</v>
      </c>
      <c r="M1132" s="22" t="s">
        <v>89</v>
      </c>
      <c r="N1132" s="24">
        <v>646.9</v>
      </c>
      <c r="O1132" s="22">
        <f>YEAR(B1132)</f>
        <v>2025</v>
      </c>
      <c r="P1132" s="25">
        <f>DATE(YEAR(B1132),MONTH(B1132),1)</f>
        <v>45689</v>
      </c>
      <c r="Q1132" s="22" t="str">
        <f>IF(N1132&gt;Summary!$C$17,"Outlier","")</f>
        <v/>
      </c>
      <c r="R1132" s="22" t="str">
        <f>IF(L1132="","None",L1132)</f>
        <v>FREESHIP</v>
      </c>
    </row>
    <row r="1133" spans="1:18" x14ac:dyDescent="0.2">
      <c r="A1133" s="22" t="s">
        <v>4121</v>
      </c>
      <c r="B1133" s="23">
        <v>45491</v>
      </c>
      <c r="C1133" s="22" t="s">
        <v>4122</v>
      </c>
      <c r="D1133" s="22" t="s">
        <v>67</v>
      </c>
      <c r="E1133" s="22">
        <v>1</v>
      </c>
      <c r="F1133" s="24">
        <v>694.5</v>
      </c>
      <c r="G1133" s="22" t="s">
        <v>1202</v>
      </c>
      <c r="H1133" s="22" t="s">
        <v>76</v>
      </c>
      <c r="I1133" s="22" t="s">
        <v>71</v>
      </c>
      <c r="J1133" s="22" t="s">
        <v>4123</v>
      </c>
      <c r="K1133" s="22">
        <v>3</v>
      </c>
      <c r="L1133" s="22" t="s">
        <v>84</v>
      </c>
      <c r="M1133" s="22" t="s">
        <v>87</v>
      </c>
      <c r="N1133" s="24">
        <v>694.5</v>
      </c>
      <c r="O1133" s="22">
        <f>YEAR(B1133)</f>
        <v>2024</v>
      </c>
      <c r="P1133" s="25">
        <f>DATE(YEAR(B1133),MONTH(B1133),1)</f>
        <v>45474</v>
      </c>
      <c r="Q1133" s="22" t="str">
        <f>IF(N1133&gt;Summary!$C$17,"Outlier","")</f>
        <v/>
      </c>
      <c r="R1133" s="22" t="str">
        <f>IF(L1133="","None",L1133)</f>
        <v>WINTER15</v>
      </c>
    </row>
    <row r="1134" spans="1:18" x14ac:dyDescent="0.2">
      <c r="A1134" s="22" t="s">
        <v>4124</v>
      </c>
      <c r="B1134" s="23">
        <v>45628</v>
      </c>
      <c r="C1134" s="22" t="s">
        <v>4125</v>
      </c>
      <c r="D1134" s="22" t="s">
        <v>61</v>
      </c>
      <c r="E1134" s="22">
        <v>2</v>
      </c>
      <c r="F1134" s="24">
        <v>337.32</v>
      </c>
      <c r="G1134" s="22" t="s">
        <v>1006</v>
      </c>
      <c r="H1134" s="22" t="s">
        <v>76</v>
      </c>
      <c r="I1134" s="22" t="s">
        <v>73</v>
      </c>
      <c r="J1134" s="22" t="s">
        <v>4126</v>
      </c>
      <c r="K1134" s="22">
        <v>4</v>
      </c>
      <c r="L1134" s="22" t="s">
        <v>83</v>
      </c>
      <c r="M1134" s="22" t="s">
        <v>86</v>
      </c>
      <c r="N1134" s="24">
        <v>674.64</v>
      </c>
      <c r="O1134" s="22">
        <f>YEAR(B1134)</f>
        <v>2024</v>
      </c>
      <c r="P1134" s="25">
        <f>DATE(YEAR(B1134),MONTH(B1134),1)</f>
        <v>45627</v>
      </c>
      <c r="Q1134" s="22" t="str">
        <f>IF(N1134&gt;Summary!$C$17,"Outlier","")</f>
        <v/>
      </c>
      <c r="R1134" s="22" t="str">
        <f>IF(L1134="","None",L1134)</f>
        <v>SAVE10</v>
      </c>
    </row>
    <row r="1135" spans="1:18" x14ac:dyDescent="0.2">
      <c r="A1135" s="22" t="s">
        <v>4127</v>
      </c>
      <c r="B1135" s="23">
        <v>45391</v>
      </c>
      <c r="C1135" s="22" t="s">
        <v>4128</v>
      </c>
      <c r="D1135" s="22" t="s">
        <v>62</v>
      </c>
      <c r="E1135" s="22">
        <v>2</v>
      </c>
      <c r="F1135" s="24">
        <v>467.91</v>
      </c>
      <c r="G1135" s="22" t="s">
        <v>950</v>
      </c>
      <c r="H1135" s="22" t="s">
        <v>78</v>
      </c>
      <c r="I1135" s="22" t="s">
        <v>72</v>
      </c>
      <c r="J1135" s="22" t="s">
        <v>4129</v>
      </c>
      <c r="K1135" s="22">
        <v>5</v>
      </c>
      <c r="L1135" s="22" t="s">
        <v>84</v>
      </c>
      <c r="M1135" s="22" t="s">
        <v>87</v>
      </c>
      <c r="N1135" s="24">
        <v>935.82</v>
      </c>
      <c r="O1135" s="22">
        <f>YEAR(B1135)</f>
        <v>2024</v>
      </c>
      <c r="P1135" s="25">
        <f>DATE(YEAR(B1135),MONTH(B1135),1)</f>
        <v>45383</v>
      </c>
      <c r="Q1135" s="22" t="str">
        <f>IF(N1135&gt;Summary!$C$17,"Outlier","")</f>
        <v/>
      </c>
      <c r="R1135" s="22" t="str">
        <f>IF(L1135="","None",L1135)</f>
        <v>WINTER15</v>
      </c>
    </row>
    <row r="1136" spans="1:18" x14ac:dyDescent="0.2">
      <c r="A1136" s="22" t="s">
        <v>4130</v>
      </c>
      <c r="B1136" s="23">
        <v>45451</v>
      </c>
      <c r="C1136" s="22" t="s">
        <v>4131</v>
      </c>
      <c r="D1136" s="22" t="s">
        <v>66</v>
      </c>
      <c r="E1136" s="22">
        <v>4</v>
      </c>
      <c r="F1136" s="24">
        <v>38.28</v>
      </c>
      <c r="G1136" s="22" t="s">
        <v>4132</v>
      </c>
      <c r="H1136" s="22" t="s">
        <v>77</v>
      </c>
      <c r="I1136" s="22" t="s">
        <v>73</v>
      </c>
      <c r="J1136" s="22" t="s">
        <v>4133</v>
      </c>
      <c r="K1136" s="22">
        <v>4</v>
      </c>
      <c r="L1136" s="22" t="s">
        <v>84</v>
      </c>
      <c r="M1136" s="22" t="s">
        <v>87</v>
      </c>
      <c r="N1136" s="24">
        <v>153.12</v>
      </c>
      <c r="O1136" s="22">
        <f>YEAR(B1136)</f>
        <v>2024</v>
      </c>
      <c r="P1136" s="25">
        <f>DATE(YEAR(B1136),MONTH(B1136),1)</f>
        <v>45444</v>
      </c>
      <c r="Q1136" s="22" t="str">
        <f>IF(N1136&gt;Summary!$C$17,"Outlier","")</f>
        <v/>
      </c>
      <c r="R1136" s="22" t="str">
        <f>IF(L1136="","None",L1136)</f>
        <v>WINTER15</v>
      </c>
    </row>
    <row r="1137" spans="1:18" x14ac:dyDescent="0.2">
      <c r="A1137" s="22" t="s">
        <v>4134</v>
      </c>
      <c r="B1137" s="23">
        <v>45288</v>
      </c>
      <c r="C1137" s="22" t="s">
        <v>4135</v>
      </c>
      <c r="D1137" s="22" t="s">
        <v>62</v>
      </c>
      <c r="E1137" s="22">
        <v>2</v>
      </c>
      <c r="F1137" s="24">
        <v>73.41</v>
      </c>
      <c r="G1137" s="22" t="s">
        <v>1029</v>
      </c>
      <c r="H1137" s="22" t="s">
        <v>79</v>
      </c>
      <c r="I1137" s="22" t="s">
        <v>70</v>
      </c>
      <c r="J1137" s="22" t="s">
        <v>4136</v>
      </c>
      <c r="K1137" s="22">
        <v>2</v>
      </c>
      <c r="L1137" s="22" t="s">
        <v>83</v>
      </c>
      <c r="M1137" s="22" t="s">
        <v>88</v>
      </c>
      <c r="N1137" s="24">
        <v>146.82</v>
      </c>
      <c r="O1137" s="22">
        <f>YEAR(B1137)</f>
        <v>2023</v>
      </c>
      <c r="P1137" s="25">
        <f>DATE(YEAR(B1137),MONTH(B1137),1)</f>
        <v>45261</v>
      </c>
      <c r="Q1137" s="22" t="str">
        <f>IF(N1137&gt;Summary!$C$17,"Outlier","")</f>
        <v/>
      </c>
      <c r="R1137" s="22" t="str">
        <f>IF(L1137="","None",L1137)</f>
        <v>SAVE10</v>
      </c>
    </row>
    <row r="1138" spans="1:18" x14ac:dyDescent="0.2">
      <c r="A1138" s="22" t="s">
        <v>4137</v>
      </c>
      <c r="B1138" s="23">
        <v>45193</v>
      </c>
      <c r="C1138" s="22" t="s">
        <v>4138</v>
      </c>
      <c r="D1138" s="22" t="s">
        <v>64</v>
      </c>
      <c r="E1138" s="22">
        <v>3</v>
      </c>
      <c r="F1138" s="24">
        <v>668.33</v>
      </c>
      <c r="G1138" s="22" t="s">
        <v>2693</v>
      </c>
      <c r="H1138" s="22" t="s">
        <v>78</v>
      </c>
      <c r="I1138" s="22" t="s">
        <v>71</v>
      </c>
      <c r="J1138" s="22" t="s">
        <v>4139</v>
      </c>
      <c r="K1138" s="22">
        <v>4</v>
      </c>
      <c r="L1138" s="22" t="s">
        <v>84</v>
      </c>
      <c r="M1138" s="22" t="s">
        <v>87</v>
      </c>
      <c r="N1138" s="24">
        <v>2004.99</v>
      </c>
      <c r="O1138" s="22">
        <f>YEAR(B1138)</f>
        <v>2023</v>
      </c>
      <c r="P1138" s="25">
        <f>DATE(YEAR(B1138),MONTH(B1138),1)</f>
        <v>45170</v>
      </c>
      <c r="Q1138" s="22" t="str">
        <f>IF(N1138&gt;Summary!$C$17,"Outlier","")</f>
        <v/>
      </c>
      <c r="R1138" s="22" t="str">
        <f>IF(L1138="","None",L1138)</f>
        <v>WINTER15</v>
      </c>
    </row>
    <row r="1139" spans="1:18" x14ac:dyDescent="0.2">
      <c r="A1139" s="22" t="s">
        <v>4140</v>
      </c>
      <c r="B1139" s="23">
        <v>45502</v>
      </c>
      <c r="C1139" s="22" t="s">
        <v>4141</v>
      </c>
      <c r="D1139" s="22" t="s">
        <v>62</v>
      </c>
      <c r="E1139" s="22">
        <v>4</v>
      </c>
      <c r="F1139" s="24">
        <v>410.21</v>
      </c>
      <c r="G1139" s="22" t="s">
        <v>4142</v>
      </c>
      <c r="H1139" s="22" t="s">
        <v>75</v>
      </c>
      <c r="I1139" s="22" t="s">
        <v>71</v>
      </c>
      <c r="J1139" s="22" t="s">
        <v>4143</v>
      </c>
      <c r="K1139" s="22">
        <v>5</v>
      </c>
      <c r="L1139" s="22" t="s">
        <v>84</v>
      </c>
      <c r="M1139" s="22" t="s">
        <v>89</v>
      </c>
      <c r="N1139" s="24">
        <v>1640.84</v>
      </c>
      <c r="O1139" s="22">
        <f>YEAR(B1139)</f>
        <v>2024</v>
      </c>
      <c r="P1139" s="25">
        <f>DATE(YEAR(B1139),MONTH(B1139),1)</f>
        <v>45474</v>
      </c>
      <c r="Q1139" s="22" t="str">
        <f>IF(N1139&gt;Summary!$C$17,"Outlier","")</f>
        <v/>
      </c>
      <c r="R1139" s="22" t="str">
        <f>IF(L1139="","None",L1139)</f>
        <v>WINTER15</v>
      </c>
    </row>
    <row r="1140" spans="1:18" x14ac:dyDescent="0.2">
      <c r="A1140" s="22" t="s">
        <v>4144</v>
      </c>
      <c r="B1140" s="23">
        <v>45278</v>
      </c>
      <c r="C1140" s="22" t="s">
        <v>4145</v>
      </c>
      <c r="D1140" s="22" t="s">
        <v>66</v>
      </c>
      <c r="E1140" s="22">
        <v>4</v>
      </c>
      <c r="F1140" s="24">
        <v>294.41000000000003</v>
      </c>
      <c r="G1140" s="22" t="s">
        <v>2559</v>
      </c>
      <c r="H1140" s="22" t="s">
        <v>77</v>
      </c>
      <c r="I1140" s="22" t="s">
        <v>71</v>
      </c>
      <c r="J1140" s="22" t="s">
        <v>4146</v>
      </c>
      <c r="K1140" s="22">
        <v>4</v>
      </c>
      <c r="L1140" s="22"/>
      <c r="M1140" s="22" t="s">
        <v>89</v>
      </c>
      <c r="N1140" s="24">
        <v>1177.6400000000001</v>
      </c>
      <c r="O1140" s="22">
        <f>YEAR(B1140)</f>
        <v>2023</v>
      </c>
      <c r="P1140" s="25">
        <f>DATE(YEAR(B1140),MONTH(B1140),1)</f>
        <v>45261</v>
      </c>
      <c r="Q1140" s="22" t="str">
        <f>IF(N1140&gt;Summary!$C$17,"Outlier","")</f>
        <v/>
      </c>
      <c r="R1140" s="22" t="str">
        <f>IF(L1140="","None",L1140)</f>
        <v>None</v>
      </c>
    </row>
    <row r="1141" spans="1:18" x14ac:dyDescent="0.2">
      <c r="A1141" s="22" t="s">
        <v>4147</v>
      </c>
      <c r="B1141" s="23">
        <v>45717</v>
      </c>
      <c r="C1141" s="22" t="s">
        <v>3861</v>
      </c>
      <c r="D1141" s="22" t="s">
        <v>61</v>
      </c>
      <c r="E1141" s="22">
        <v>3</v>
      </c>
      <c r="F1141" s="24">
        <v>501.82</v>
      </c>
      <c r="G1141" s="22" t="s">
        <v>231</v>
      </c>
      <c r="H1141" s="22" t="s">
        <v>78</v>
      </c>
      <c r="I1141" s="22" t="s">
        <v>73</v>
      </c>
      <c r="J1141" s="22" t="s">
        <v>4148</v>
      </c>
      <c r="K1141" s="22">
        <v>4</v>
      </c>
      <c r="L1141" s="22" t="s">
        <v>82</v>
      </c>
      <c r="M1141" s="22" t="s">
        <v>86</v>
      </c>
      <c r="N1141" s="24">
        <v>1505.46</v>
      </c>
      <c r="O1141" s="22">
        <f>YEAR(B1141)</f>
        <v>2025</v>
      </c>
      <c r="P1141" s="25">
        <f>DATE(YEAR(B1141),MONTH(B1141),1)</f>
        <v>45717</v>
      </c>
      <c r="Q1141" s="22" t="str">
        <f>IF(N1141&gt;Summary!$C$17,"Outlier","")</f>
        <v/>
      </c>
      <c r="R1141" s="22" t="str">
        <f>IF(L1141="","None",L1141)</f>
        <v>FREESHIP</v>
      </c>
    </row>
    <row r="1142" spans="1:18" x14ac:dyDescent="0.2">
      <c r="A1142" s="22" t="s">
        <v>4149</v>
      </c>
      <c r="B1142" s="23">
        <v>45467</v>
      </c>
      <c r="C1142" s="22" t="s">
        <v>4150</v>
      </c>
      <c r="D1142" s="22" t="s">
        <v>62</v>
      </c>
      <c r="E1142" s="22">
        <v>2</v>
      </c>
      <c r="F1142" s="24">
        <v>552.83000000000004</v>
      </c>
      <c r="G1142" s="22" t="s">
        <v>151</v>
      </c>
      <c r="H1142" s="22" t="s">
        <v>76</v>
      </c>
      <c r="I1142" s="22" t="s">
        <v>73</v>
      </c>
      <c r="J1142" s="22" t="s">
        <v>4151</v>
      </c>
      <c r="K1142" s="22">
        <v>3</v>
      </c>
      <c r="L1142" s="22"/>
      <c r="M1142" s="22" t="s">
        <v>90</v>
      </c>
      <c r="N1142" s="24">
        <v>1105.6600000000001</v>
      </c>
      <c r="O1142" s="22">
        <f>YEAR(B1142)</f>
        <v>2024</v>
      </c>
      <c r="P1142" s="25">
        <f>DATE(YEAR(B1142),MONTH(B1142),1)</f>
        <v>45444</v>
      </c>
      <c r="Q1142" s="22" t="str">
        <f>IF(N1142&gt;Summary!$C$17,"Outlier","")</f>
        <v/>
      </c>
      <c r="R1142" s="22" t="str">
        <f>IF(L1142="","None",L1142)</f>
        <v>None</v>
      </c>
    </row>
    <row r="1143" spans="1:18" x14ac:dyDescent="0.2">
      <c r="A1143" s="22" t="s">
        <v>4152</v>
      </c>
      <c r="B1143" s="23">
        <v>45704</v>
      </c>
      <c r="C1143" s="22" t="s">
        <v>4153</v>
      </c>
      <c r="D1143" s="22" t="s">
        <v>61</v>
      </c>
      <c r="E1143" s="22">
        <v>3</v>
      </c>
      <c r="F1143" s="24">
        <v>498.66</v>
      </c>
      <c r="G1143" s="22" t="s">
        <v>187</v>
      </c>
      <c r="H1143" s="22" t="s">
        <v>75</v>
      </c>
      <c r="I1143" s="22" t="s">
        <v>73</v>
      </c>
      <c r="J1143" s="22" t="s">
        <v>4154</v>
      </c>
      <c r="K1143" s="22">
        <v>6</v>
      </c>
      <c r="L1143" s="22"/>
      <c r="M1143" s="22" t="s">
        <v>86</v>
      </c>
      <c r="N1143" s="24">
        <v>1495.98</v>
      </c>
      <c r="O1143" s="22">
        <f>YEAR(B1143)</f>
        <v>2025</v>
      </c>
      <c r="P1143" s="25">
        <f>DATE(YEAR(B1143),MONTH(B1143),1)</f>
        <v>45689</v>
      </c>
      <c r="Q1143" s="22" t="str">
        <f>IF(N1143&gt;Summary!$C$17,"Outlier","")</f>
        <v/>
      </c>
      <c r="R1143" s="22" t="str">
        <f>IF(L1143="","None",L1143)</f>
        <v>None</v>
      </c>
    </row>
    <row r="1144" spans="1:18" x14ac:dyDescent="0.2">
      <c r="A1144" s="22" t="s">
        <v>4155</v>
      </c>
      <c r="B1144" s="23">
        <v>45527</v>
      </c>
      <c r="C1144" s="22" t="s">
        <v>4156</v>
      </c>
      <c r="D1144" s="22" t="s">
        <v>67</v>
      </c>
      <c r="E1144" s="22">
        <v>4</v>
      </c>
      <c r="F1144" s="24">
        <v>695.1</v>
      </c>
      <c r="G1144" s="22" t="s">
        <v>4157</v>
      </c>
      <c r="H1144" s="22" t="s">
        <v>77</v>
      </c>
      <c r="I1144" s="22" t="s">
        <v>72</v>
      </c>
      <c r="J1144" s="22" t="s">
        <v>4158</v>
      </c>
      <c r="K1144" s="22">
        <v>8</v>
      </c>
      <c r="L1144" s="22"/>
      <c r="M1144" s="22" t="s">
        <v>86</v>
      </c>
      <c r="N1144" s="24">
        <v>2780.4</v>
      </c>
      <c r="O1144" s="22">
        <f>YEAR(B1144)</f>
        <v>2024</v>
      </c>
      <c r="P1144" s="25">
        <f>DATE(YEAR(B1144),MONTH(B1144),1)</f>
        <v>45505</v>
      </c>
      <c r="Q1144" s="22" t="str">
        <f>IF(N1144&gt;Summary!$C$17,"Outlier","")</f>
        <v/>
      </c>
      <c r="R1144" s="22" t="str">
        <f>IF(L1144="","None",L1144)</f>
        <v>None</v>
      </c>
    </row>
    <row r="1145" spans="1:18" x14ac:dyDescent="0.2">
      <c r="A1145" s="22" t="s">
        <v>4159</v>
      </c>
      <c r="B1145" s="23">
        <v>45019</v>
      </c>
      <c r="C1145" s="22" t="s">
        <v>4160</v>
      </c>
      <c r="D1145" s="22" t="s">
        <v>61</v>
      </c>
      <c r="E1145" s="22">
        <v>1</v>
      </c>
      <c r="F1145" s="24">
        <v>381.61</v>
      </c>
      <c r="G1145" s="22" t="s">
        <v>4161</v>
      </c>
      <c r="H1145" s="22" t="s">
        <v>77</v>
      </c>
      <c r="I1145" s="22" t="s">
        <v>71</v>
      </c>
      <c r="J1145" s="22" t="s">
        <v>4162</v>
      </c>
      <c r="K1145" s="22">
        <v>5</v>
      </c>
      <c r="L1145" s="22"/>
      <c r="M1145" s="22" t="s">
        <v>86</v>
      </c>
      <c r="N1145" s="24">
        <v>381.61</v>
      </c>
      <c r="O1145" s="22">
        <f>YEAR(B1145)</f>
        <v>2023</v>
      </c>
      <c r="P1145" s="25">
        <f>DATE(YEAR(B1145),MONTH(B1145),1)</f>
        <v>45017</v>
      </c>
      <c r="Q1145" s="22" t="str">
        <f>IF(N1145&gt;Summary!$C$17,"Outlier","")</f>
        <v/>
      </c>
      <c r="R1145" s="22" t="str">
        <f>IF(L1145="","None",L1145)</f>
        <v>None</v>
      </c>
    </row>
    <row r="1146" spans="1:18" x14ac:dyDescent="0.2">
      <c r="A1146" s="22" t="s">
        <v>4163</v>
      </c>
      <c r="B1146" s="23">
        <v>44973</v>
      </c>
      <c r="C1146" s="22" t="s">
        <v>4164</v>
      </c>
      <c r="D1146" s="22" t="s">
        <v>66</v>
      </c>
      <c r="E1146" s="22">
        <v>5</v>
      </c>
      <c r="F1146" s="24">
        <v>507.94</v>
      </c>
      <c r="G1146" s="22" t="s">
        <v>4165</v>
      </c>
      <c r="H1146" s="22" t="s">
        <v>79</v>
      </c>
      <c r="I1146" s="22" t="s">
        <v>73</v>
      </c>
      <c r="J1146" s="22" t="s">
        <v>4166</v>
      </c>
      <c r="K1146" s="22">
        <v>9</v>
      </c>
      <c r="L1146" s="22"/>
      <c r="M1146" s="22" t="s">
        <v>87</v>
      </c>
      <c r="N1146" s="24">
        <v>2539.6999999999998</v>
      </c>
      <c r="O1146" s="22">
        <f>YEAR(B1146)</f>
        <v>2023</v>
      </c>
      <c r="P1146" s="25">
        <f>DATE(YEAR(B1146),MONTH(B1146),1)</f>
        <v>44958</v>
      </c>
      <c r="Q1146" s="22" t="str">
        <f>IF(N1146&gt;Summary!$C$17,"Outlier","")</f>
        <v/>
      </c>
      <c r="R1146" s="22" t="str">
        <f>IF(L1146="","None",L1146)</f>
        <v>None</v>
      </c>
    </row>
    <row r="1147" spans="1:18" x14ac:dyDescent="0.2">
      <c r="A1147" s="22" t="s">
        <v>4167</v>
      </c>
      <c r="B1147" s="23">
        <v>45789</v>
      </c>
      <c r="C1147" s="22" t="s">
        <v>4168</v>
      </c>
      <c r="D1147" s="22" t="s">
        <v>66</v>
      </c>
      <c r="E1147" s="22">
        <v>3</v>
      </c>
      <c r="F1147" s="24">
        <v>571.53</v>
      </c>
      <c r="G1147" s="22" t="s">
        <v>1092</v>
      </c>
      <c r="H1147" s="22" t="s">
        <v>77</v>
      </c>
      <c r="I1147" s="22" t="s">
        <v>69</v>
      </c>
      <c r="J1147" s="22" t="s">
        <v>4169</v>
      </c>
      <c r="K1147" s="22">
        <v>6</v>
      </c>
      <c r="L1147" s="22" t="s">
        <v>82</v>
      </c>
      <c r="M1147" s="22" t="s">
        <v>87</v>
      </c>
      <c r="N1147" s="24">
        <v>1714.59</v>
      </c>
      <c r="O1147" s="22">
        <f>YEAR(B1147)</f>
        <v>2025</v>
      </c>
      <c r="P1147" s="25">
        <f>DATE(YEAR(B1147),MONTH(B1147),1)</f>
        <v>45778</v>
      </c>
      <c r="Q1147" s="22" t="str">
        <f>IF(N1147&gt;Summary!$C$17,"Outlier","")</f>
        <v/>
      </c>
      <c r="R1147" s="22" t="str">
        <f>IF(L1147="","None",L1147)</f>
        <v>FREESHIP</v>
      </c>
    </row>
    <row r="1148" spans="1:18" x14ac:dyDescent="0.2">
      <c r="A1148" s="22" t="s">
        <v>4170</v>
      </c>
      <c r="B1148" s="23">
        <v>45568</v>
      </c>
      <c r="C1148" s="22" t="s">
        <v>4171</v>
      </c>
      <c r="D1148" s="22" t="s">
        <v>65</v>
      </c>
      <c r="E1148" s="22">
        <v>5</v>
      </c>
      <c r="F1148" s="24">
        <v>421.44</v>
      </c>
      <c r="G1148" s="22" t="s">
        <v>1814</v>
      </c>
      <c r="H1148" s="22" t="s">
        <v>75</v>
      </c>
      <c r="I1148" s="22" t="s">
        <v>71</v>
      </c>
      <c r="J1148" s="22" t="s">
        <v>4172</v>
      </c>
      <c r="K1148" s="22">
        <v>5</v>
      </c>
      <c r="L1148" s="22" t="s">
        <v>83</v>
      </c>
      <c r="M1148" s="22" t="s">
        <v>89</v>
      </c>
      <c r="N1148" s="24">
        <v>2107.1999999999998</v>
      </c>
      <c r="O1148" s="22">
        <f>YEAR(B1148)</f>
        <v>2024</v>
      </c>
      <c r="P1148" s="25">
        <f>DATE(YEAR(B1148),MONTH(B1148),1)</f>
        <v>45566</v>
      </c>
      <c r="Q1148" s="22" t="str">
        <f>IF(N1148&gt;Summary!$C$17,"Outlier","")</f>
        <v/>
      </c>
      <c r="R1148" s="22" t="str">
        <f>IF(L1148="","None",L1148)</f>
        <v>SAVE10</v>
      </c>
    </row>
    <row r="1149" spans="1:18" x14ac:dyDescent="0.2">
      <c r="A1149" s="22" t="s">
        <v>4173</v>
      </c>
      <c r="B1149" s="23">
        <v>45659</v>
      </c>
      <c r="C1149" s="22" t="s">
        <v>4174</v>
      </c>
      <c r="D1149" s="22" t="s">
        <v>61</v>
      </c>
      <c r="E1149" s="22">
        <v>2</v>
      </c>
      <c r="F1149" s="24">
        <v>588.29999999999995</v>
      </c>
      <c r="G1149" s="22" t="s">
        <v>4175</v>
      </c>
      <c r="H1149" s="22" t="s">
        <v>79</v>
      </c>
      <c r="I1149" s="22" t="s">
        <v>71</v>
      </c>
      <c r="J1149" s="22" t="s">
        <v>4176</v>
      </c>
      <c r="K1149" s="22">
        <v>2</v>
      </c>
      <c r="L1149" s="22" t="s">
        <v>82</v>
      </c>
      <c r="M1149" s="22" t="s">
        <v>86</v>
      </c>
      <c r="N1149" s="24">
        <v>1176.5999999999999</v>
      </c>
      <c r="O1149" s="22">
        <f>YEAR(B1149)</f>
        <v>2025</v>
      </c>
      <c r="P1149" s="25">
        <f>DATE(YEAR(B1149),MONTH(B1149),1)</f>
        <v>45658</v>
      </c>
      <c r="Q1149" s="22" t="str">
        <f>IF(N1149&gt;Summary!$C$17,"Outlier","")</f>
        <v/>
      </c>
      <c r="R1149" s="22" t="str">
        <f>IF(L1149="","None",L1149)</f>
        <v>FREESHIP</v>
      </c>
    </row>
    <row r="1150" spans="1:18" x14ac:dyDescent="0.2">
      <c r="A1150" s="22" t="s">
        <v>4177</v>
      </c>
      <c r="B1150" s="23">
        <v>45468</v>
      </c>
      <c r="C1150" s="22" t="s">
        <v>4178</v>
      </c>
      <c r="D1150" s="22" t="s">
        <v>67</v>
      </c>
      <c r="E1150" s="22">
        <v>1</v>
      </c>
      <c r="F1150" s="24">
        <v>355.15</v>
      </c>
      <c r="G1150" s="22" t="s">
        <v>4179</v>
      </c>
      <c r="H1150" s="22" t="s">
        <v>75</v>
      </c>
      <c r="I1150" s="22" t="s">
        <v>72</v>
      </c>
      <c r="J1150" s="22" t="s">
        <v>4180</v>
      </c>
      <c r="K1150" s="22">
        <v>2</v>
      </c>
      <c r="L1150" s="22" t="s">
        <v>83</v>
      </c>
      <c r="M1150" s="22" t="s">
        <v>86</v>
      </c>
      <c r="N1150" s="24">
        <v>355.15</v>
      </c>
      <c r="O1150" s="22">
        <f>YEAR(B1150)</f>
        <v>2024</v>
      </c>
      <c r="P1150" s="25">
        <f>DATE(YEAR(B1150),MONTH(B1150),1)</f>
        <v>45444</v>
      </c>
      <c r="Q1150" s="22" t="str">
        <f>IF(N1150&gt;Summary!$C$17,"Outlier","")</f>
        <v/>
      </c>
      <c r="R1150" s="22" t="str">
        <f>IF(L1150="","None",L1150)</f>
        <v>SAVE10</v>
      </c>
    </row>
    <row r="1151" spans="1:18" x14ac:dyDescent="0.2">
      <c r="A1151" s="22" t="s">
        <v>4181</v>
      </c>
      <c r="B1151" s="23">
        <v>45498</v>
      </c>
      <c r="C1151" s="22" t="s">
        <v>4182</v>
      </c>
      <c r="D1151" s="22" t="s">
        <v>61</v>
      </c>
      <c r="E1151" s="22">
        <v>2</v>
      </c>
      <c r="F1151" s="24">
        <v>695.29</v>
      </c>
      <c r="G1151" s="22" t="s">
        <v>4183</v>
      </c>
      <c r="H1151" s="22" t="s">
        <v>76</v>
      </c>
      <c r="I1151" s="22" t="s">
        <v>71</v>
      </c>
      <c r="J1151" s="22" t="s">
        <v>4184</v>
      </c>
      <c r="K1151" s="22">
        <v>6</v>
      </c>
      <c r="L1151" s="22" t="s">
        <v>82</v>
      </c>
      <c r="M1151" s="22" t="s">
        <v>89</v>
      </c>
      <c r="N1151" s="24">
        <v>1390.58</v>
      </c>
      <c r="O1151" s="22">
        <f>YEAR(B1151)</f>
        <v>2024</v>
      </c>
      <c r="P1151" s="25">
        <f>DATE(YEAR(B1151),MONTH(B1151),1)</f>
        <v>45474</v>
      </c>
      <c r="Q1151" s="22" t="str">
        <f>IF(N1151&gt;Summary!$C$17,"Outlier","")</f>
        <v/>
      </c>
      <c r="R1151" s="22" t="str">
        <f>IF(L1151="","None",L1151)</f>
        <v>FREESHIP</v>
      </c>
    </row>
    <row r="1152" spans="1:18" x14ac:dyDescent="0.2">
      <c r="A1152" s="22" t="s">
        <v>4185</v>
      </c>
      <c r="B1152" s="23">
        <v>44977</v>
      </c>
      <c r="C1152" s="22" t="s">
        <v>4186</v>
      </c>
      <c r="D1152" s="22" t="s">
        <v>66</v>
      </c>
      <c r="E1152" s="22">
        <v>4</v>
      </c>
      <c r="F1152" s="24">
        <v>302.64999999999998</v>
      </c>
      <c r="G1152" s="22" t="s">
        <v>1166</v>
      </c>
      <c r="H1152" s="22" t="s">
        <v>76</v>
      </c>
      <c r="I1152" s="22" t="s">
        <v>73</v>
      </c>
      <c r="J1152" s="22" t="s">
        <v>4187</v>
      </c>
      <c r="K1152" s="22">
        <v>8</v>
      </c>
      <c r="L1152" s="22" t="s">
        <v>83</v>
      </c>
      <c r="M1152" s="22" t="s">
        <v>90</v>
      </c>
      <c r="N1152" s="24">
        <v>1210.5999999999999</v>
      </c>
      <c r="O1152" s="22">
        <f>YEAR(B1152)</f>
        <v>2023</v>
      </c>
      <c r="P1152" s="25">
        <f>DATE(YEAR(B1152),MONTH(B1152),1)</f>
        <v>44958</v>
      </c>
      <c r="Q1152" s="22" t="str">
        <f>IF(N1152&gt;Summary!$C$17,"Outlier","")</f>
        <v/>
      </c>
      <c r="R1152" s="22" t="str">
        <f>IF(L1152="","None",L1152)</f>
        <v>SAVE10</v>
      </c>
    </row>
    <row r="1153" spans="1:18" x14ac:dyDescent="0.2">
      <c r="A1153" s="22" t="s">
        <v>4188</v>
      </c>
      <c r="B1153" s="23">
        <v>44955</v>
      </c>
      <c r="C1153" s="22" t="s">
        <v>4189</v>
      </c>
      <c r="D1153" s="22" t="s">
        <v>61</v>
      </c>
      <c r="E1153" s="22">
        <v>2</v>
      </c>
      <c r="F1153" s="24">
        <v>608.04</v>
      </c>
      <c r="G1153" s="22" t="s">
        <v>4190</v>
      </c>
      <c r="H1153" s="22" t="s">
        <v>75</v>
      </c>
      <c r="I1153" s="22" t="s">
        <v>73</v>
      </c>
      <c r="J1153" s="22" t="s">
        <v>4191</v>
      </c>
      <c r="K1153" s="22">
        <v>4</v>
      </c>
      <c r="L1153" s="22"/>
      <c r="M1153" s="22" t="s">
        <v>88</v>
      </c>
      <c r="N1153" s="24">
        <v>1216.08</v>
      </c>
      <c r="O1153" s="22">
        <f>YEAR(B1153)</f>
        <v>2023</v>
      </c>
      <c r="P1153" s="25">
        <f>DATE(YEAR(B1153),MONTH(B1153),1)</f>
        <v>44927</v>
      </c>
      <c r="Q1153" s="22" t="str">
        <f>IF(N1153&gt;Summary!$C$17,"Outlier","")</f>
        <v/>
      </c>
      <c r="R1153" s="22" t="str">
        <f>IF(L1153="","None",L1153)</f>
        <v>None</v>
      </c>
    </row>
    <row r="1154" spans="1:18" x14ac:dyDescent="0.2">
      <c r="A1154" s="22" t="s">
        <v>4192</v>
      </c>
      <c r="B1154" s="23">
        <v>45239</v>
      </c>
      <c r="C1154" s="22" t="s">
        <v>4193</v>
      </c>
      <c r="D1154" s="22" t="s">
        <v>64</v>
      </c>
      <c r="E1154" s="22">
        <v>2</v>
      </c>
      <c r="F1154" s="24">
        <v>344.18</v>
      </c>
      <c r="G1154" s="22" t="s">
        <v>504</v>
      </c>
      <c r="H1154" s="22" t="s">
        <v>76</v>
      </c>
      <c r="I1154" s="22" t="s">
        <v>70</v>
      </c>
      <c r="J1154" s="22" t="s">
        <v>4194</v>
      </c>
      <c r="K1154" s="22">
        <v>7</v>
      </c>
      <c r="L1154" s="22"/>
      <c r="M1154" s="22" t="s">
        <v>90</v>
      </c>
      <c r="N1154" s="24">
        <v>688.36</v>
      </c>
      <c r="O1154" s="22">
        <f>YEAR(B1154)</f>
        <v>2023</v>
      </c>
      <c r="P1154" s="25">
        <f>DATE(YEAR(B1154),MONTH(B1154),1)</f>
        <v>45231</v>
      </c>
      <c r="Q1154" s="22" t="str">
        <f>IF(N1154&gt;Summary!$C$17,"Outlier","")</f>
        <v/>
      </c>
      <c r="R1154" s="22" t="str">
        <f>IF(L1154="","None",L1154)</f>
        <v>None</v>
      </c>
    </row>
    <row r="1155" spans="1:18" x14ac:dyDescent="0.2">
      <c r="A1155" s="22" t="s">
        <v>4195</v>
      </c>
      <c r="B1155" s="23">
        <v>45642</v>
      </c>
      <c r="C1155" s="22" t="s">
        <v>4196</v>
      </c>
      <c r="D1155" s="22" t="s">
        <v>65</v>
      </c>
      <c r="E1155" s="22">
        <v>4</v>
      </c>
      <c r="F1155" s="24">
        <v>696.71</v>
      </c>
      <c r="G1155" s="22" t="s">
        <v>4197</v>
      </c>
      <c r="H1155" s="22" t="s">
        <v>77</v>
      </c>
      <c r="I1155" s="22" t="s">
        <v>70</v>
      </c>
      <c r="J1155" s="22" t="s">
        <v>4198</v>
      </c>
      <c r="K1155" s="22">
        <v>4</v>
      </c>
      <c r="L1155" s="22"/>
      <c r="M1155" s="22" t="s">
        <v>89</v>
      </c>
      <c r="N1155" s="24">
        <v>2786.84</v>
      </c>
      <c r="O1155" s="22">
        <f>YEAR(B1155)</f>
        <v>2024</v>
      </c>
      <c r="P1155" s="25">
        <f>DATE(YEAR(B1155),MONTH(B1155),1)</f>
        <v>45627</v>
      </c>
      <c r="Q1155" s="22" t="str">
        <f>IF(N1155&gt;Summary!$C$17,"Outlier","")</f>
        <v/>
      </c>
      <c r="R1155" s="22" t="str">
        <f>IF(L1155="","None",L1155)</f>
        <v>None</v>
      </c>
    </row>
    <row r="1156" spans="1:18" x14ac:dyDescent="0.2">
      <c r="A1156" s="22" t="s">
        <v>4199</v>
      </c>
      <c r="B1156" s="23">
        <v>45819</v>
      </c>
      <c r="C1156" s="22" t="s">
        <v>4200</v>
      </c>
      <c r="D1156" s="22" t="s">
        <v>65</v>
      </c>
      <c r="E1156" s="22">
        <v>3</v>
      </c>
      <c r="F1156" s="24">
        <v>198.63</v>
      </c>
      <c r="G1156" s="22" t="s">
        <v>579</v>
      </c>
      <c r="H1156" s="22" t="s">
        <v>75</v>
      </c>
      <c r="I1156" s="22" t="s">
        <v>71</v>
      </c>
      <c r="J1156" s="22" t="s">
        <v>4201</v>
      </c>
      <c r="K1156" s="22">
        <v>8</v>
      </c>
      <c r="L1156" s="22" t="s">
        <v>83</v>
      </c>
      <c r="M1156" s="22" t="s">
        <v>89</v>
      </c>
      <c r="N1156" s="24">
        <v>595.89</v>
      </c>
      <c r="O1156" s="22">
        <f>YEAR(B1156)</f>
        <v>2025</v>
      </c>
      <c r="P1156" s="25">
        <f>DATE(YEAR(B1156),MONTH(B1156),1)</f>
        <v>45809</v>
      </c>
      <c r="Q1156" s="22" t="str">
        <f>IF(N1156&gt;Summary!$C$17,"Outlier","")</f>
        <v/>
      </c>
      <c r="R1156" s="22" t="str">
        <f>IF(L1156="","None",L1156)</f>
        <v>SAVE10</v>
      </c>
    </row>
    <row r="1157" spans="1:18" x14ac:dyDescent="0.2">
      <c r="A1157" s="22" t="s">
        <v>4202</v>
      </c>
      <c r="B1157" s="23">
        <v>45151</v>
      </c>
      <c r="C1157" s="22" t="s">
        <v>4203</v>
      </c>
      <c r="D1157" s="22" t="s">
        <v>62</v>
      </c>
      <c r="E1157" s="22">
        <v>4</v>
      </c>
      <c r="F1157" s="24">
        <v>534.57000000000005</v>
      </c>
      <c r="G1157" s="22" t="s">
        <v>758</v>
      </c>
      <c r="H1157" s="22" t="s">
        <v>76</v>
      </c>
      <c r="I1157" s="22" t="s">
        <v>69</v>
      </c>
      <c r="J1157" s="22" t="s">
        <v>4204</v>
      </c>
      <c r="K1157" s="22">
        <v>6</v>
      </c>
      <c r="L1157" s="22" t="s">
        <v>82</v>
      </c>
      <c r="M1157" s="22" t="s">
        <v>87</v>
      </c>
      <c r="N1157" s="24">
        <v>2138.2800000000002</v>
      </c>
      <c r="O1157" s="22">
        <f>YEAR(B1157)</f>
        <v>2023</v>
      </c>
      <c r="P1157" s="25">
        <f>DATE(YEAR(B1157),MONTH(B1157),1)</f>
        <v>45139</v>
      </c>
      <c r="Q1157" s="22" t="str">
        <f>IF(N1157&gt;Summary!$C$17,"Outlier","")</f>
        <v/>
      </c>
      <c r="R1157" s="22" t="str">
        <f>IF(L1157="","None",L1157)</f>
        <v>FREESHIP</v>
      </c>
    </row>
    <row r="1158" spans="1:18" x14ac:dyDescent="0.2">
      <c r="A1158" s="22" t="s">
        <v>4205</v>
      </c>
      <c r="B1158" s="23">
        <v>45126</v>
      </c>
      <c r="C1158" s="22" t="s">
        <v>4206</v>
      </c>
      <c r="D1158" s="22" t="s">
        <v>63</v>
      </c>
      <c r="E1158" s="22">
        <v>4</v>
      </c>
      <c r="F1158" s="24">
        <v>690.78</v>
      </c>
      <c r="G1158" s="22" t="s">
        <v>175</v>
      </c>
      <c r="H1158" s="22" t="s">
        <v>76</v>
      </c>
      <c r="I1158" s="22" t="s">
        <v>70</v>
      </c>
      <c r="J1158" s="22" t="s">
        <v>4207</v>
      </c>
      <c r="K1158" s="22">
        <v>9</v>
      </c>
      <c r="L1158" s="22"/>
      <c r="M1158" s="22" t="s">
        <v>90</v>
      </c>
      <c r="N1158" s="24">
        <v>2763.12</v>
      </c>
      <c r="O1158" s="22">
        <f>YEAR(B1158)</f>
        <v>2023</v>
      </c>
      <c r="P1158" s="25">
        <f>DATE(YEAR(B1158),MONTH(B1158),1)</f>
        <v>45108</v>
      </c>
      <c r="Q1158" s="22" t="str">
        <f>IF(N1158&gt;Summary!$C$17,"Outlier","")</f>
        <v/>
      </c>
      <c r="R1158" s="22" t="str">
        <f>IF(L1158="","None",L1158)</f>
        <v>None</v>
      </c>
    </row>
    <row r="1159" spans="1:18" x14ac:dyDescent="0.2">
      <c r="A1159" s="22" t="s">
        <v>4208</v>
      </c>
      <c r="B1159" s="23">
        <v>45441</v>
      </c>
      <c r="C1159" s="22" t="s">
        <v>4209</v>
      </c>
      <c r="D1159" s="22" t="s">
        <v>65</v>
      </c>
      <c r="E1159" s="22">
        <v>3</v>
      </c>
      <c r="F1159" s="24">
        <v>301.55</v>
      </c>
      <c r="G1159" s="22" t="s">
        <v>991</v>
      </c>
      <c r="H1159" s="22" t="s">
        <v>77</v>
      </c>
      <c r="I1159" s="22" t="s">
        <v>69</v>
      </c>
      <c r="J1159" s="22" t="s">
        <v>4210</v>
      </c>
      <c r="K1159" s="22">
        <v>5</v>
      </c>
      <c r="L1159" s="22" t="s">
        <v>82</v>
      </c>
      <c r="M1159" s="22" t="s">
        <v>88</v>
      </c>
      <c r="N1159" s="24">
        <v>904.65</v>
      </c>
      <c r="O1159" s="22">
        <f>YEAR(B1159)</f>
        <v>2024</v>
      </c>
      <c r="P1159" s="25">
        <f>DATE(YEAR(B1159),MONTH(B1159),1)</f>
        <v>45413</v>
      </c>
      <c r="Q1159" s="22" t="str">
        <f>IF(N1159&gt;Summary!$C$17,"Outlier","")</f>
        <v/>
      </c>
      <c r="R1159" s="22" t="str">
        <f>IF(L1159="","None",L1159)</f>
        <v>FREESHIP</v>
      </c>
    </row>
    <row r="1160" spans="1:18" x14ac:dyDescent="0.2">
      <c r="A1160" s="22" t="s">
        <v>4211</v>
      </c>
      <c r="B1160" s="23">
        <v>45036</v>
      </c>
      <c r="C1160" s="22" t="s">
        <v>4212</v>
      </c>
      <c r="D1160" s="22" t="s">
        <v>65</v>
      </c>
      <c r="E1160" s="22">
        <v>4</v>
      </c>
      <c r="F1160" s="24">
        <v>27.42</v>
      </c>
      <c r="G1160" s="22" t="s">
        <v>1787</v>
      </c>
      <c r="H1160" s="22" t="s">
        <v>77</v>
      </c>
      <c r="I1160" s="22" t="s">
        <v>71</v>
      </c>
      <c r="J1160" s="22" t="s">
        <v>4213</v>
      </c>
      <c r="K1160" s="22">
        <v>4</v>
      </c>
      <c r="L1160" s="22" t="s">
        <v>83</v>
      </c>
      <c r="M1160" s="22" t="s">
        <v>90</v>
      </c>
      <c r="N1160" s="24">
        <v>109.68</v>
      </c>
      <c r="O1160" s="22">
        <f>YEAR(B1160)</f>
        <v>2023</v>
      </c>
      <c r="P1160" s="25">
        <f>DATE(YEAR(B1160),MONTH(B1160),1)</f>
        <v>45017</v>
      </c>
      <c r="Q1160" s="22" t="str">
        <f>IF(N1160&gt;Summary!$C$17,"Outlier","")</f>
        <v/>
      </c>
      <c r="R1160" s="22" t="str">
        <f>IF(L1160="","None",L1160)</f>
        <v>SAVE10</v>
      </c>
    </row>
    <row r="1161" spans="1:18" x14ac:dyDescent="0.2">
      <c r="A1161" s="22" t="s">
        <v>4214</v>
      </c>
      <c r="B1161" s="23">
        <v>45345</v>
      </c>
      <c r="C1161" s="22" t="s">
        <v>4215</v>
      </c>
      <c r="D1161" s="22" t="s">
        <v>66</v>
      </c>
      <c r="E1161" s="22">
        <v>4</v>
      </c>
      <c r="F1161" s="24">
        <v>466.7</v>
      </c>
      <c r="G1161" s="22" t="s">
        <v>1837</v>
      </c>
      <c r="H1161" s="22" t="s">
        <v>77</v>
      </c>
      <c r="I1161" s="22" t="s">
        <v>72</v>
      </c>
      <c r="J1161" s="22" t="s">
        <v>4216</v>
      </c>
      <c r="K1161" s="22">
        <v>8</v>
      </c>
      <c r="L1161" s="22"/>
      <c r="M1161" s="22" t="s">
        <v>89</v>
      </c>
      <c r="N1161" s="24">
        <v>1866.8</v>
      </c>
      <c r="O1161" s="22">
        <f>YEAR(B1161)</f>
        <v>2024</v>
      </c>
      <c r="P1161" s="25">
        <f>DATE(YEAR(B1161),MONTH(B1161),1)</f>
        <v>45323</v>
      </c>
      <c r="Q1161" s="22" t="str">
        <f>IF(N1161&gt;Summary!$C$17,"Outlier","")</f>
        <v/>
      </c>
      <c r="R1161" s="22" t="str">
        <f>IF(L1161="","None",L1161)</f>
        <v>None</v>
      </c>
    </row>
    <row r="1162" spans="1:18" x14ac:dyDescent="0.2">
      <c r="A1162" s="22" t="s">
        <v>4217</v>
      </c>
      <c r="B1162" s="23">
        <v>45539</v>
      </c>
      <c r="C1162" s="22" t="s">
        <v>4218</v>
      </c>
      <c r="D1162" s="22" t="s">
        <v>66</v>
      </c>
      <c r="E1162" s="22">
        <v>1</v>
      </c>
      <c r="F1162" s="24">
        <v>541.64</v>
      </c>
      <c r="G1162" s="22" t="s">
        <v>1901</v>
      </c>
      <c r="H1162" s="22" t="s">
        <v>77</v>
      </c>
      <c r="I1162" s="22" t="s">
        <v>70</v>
      </c>
      <c r="J1162" s="22" t="s">
        <v>4219</v>
      </c>
      <c r="K1162" s="22">
        <v>5</v>
      </c>
      <c r="L1162" s="22" t="s">
        <v>83</v>
      </c>
      <c r="M1162" s="22" t="s">
        <v>86</v>
      </c>
      <c r="N1162" s="24">
        <v>541.64</v>
      </c>
      <c r="O1162" s="22">
        <f>YEAR(B1162)</f>
        <v>2024</v>
      </c>
      <c r="P1162" s="25">
        <f>DATE(YEAR(B1162),MONTH(B1162),1)</f>
        <v>45536</v>
      </c>
      <c r="Q1162" s="22" t="str">
        <f>IF(N1162&gt;Summary!$C$17,"Outlier","")</f>
        <v/>
      </c>
      <c r="R1162" s="22" t="str">
        <f>IF(L1162="","None",L1162)</f>
        <v>SAVE10</v>
      </c>
    </row>
    <row r="1163" spans="1:18" x14ac:dyDescent="0.2">
      <c r="A1163" s="22" t="s">
        <v>4220</v>
      </c>
      <c r="B1163" s="23">
        <v>45215</v>
      </c>
      <c r="C1163" s="22" t="s">
        <v>4221</v>
      </c>
      <c r="D1163" s="22" t="s">
        <v>67</v>
      </c>
      <c r="E1163" s="22">
        <v>1</v>
      </c>
      <c r="F1163" s="24">
        <v>11.39</v>
      </c>
      <c r="G1163" s="22" t="s">
        <v>1419</v>
      </c>
      <c r="H1163" s="22" t="s">
        <v>75</v>
      </c>
      <c r="I1163" s="22" t="s">
        <v>73</v>
      </c>
      <c r="J1163" s="22" t="s">
        <v>4222</v>
      </c>
      <c r="K1163" s="22">
        <v>6</v>
      </c>
      <c r="L1163" s="22" t="s">
        <v>84</v>
      </c>
      <c r="M1163" s="22" t="s">
        <v>86</v>
      </c>
      <c r="N1163" s="24">
        <v>11.39</v>
      </c>
      <c r="O1163" s="22">
        <f>YEAR(B1163)</f>
        <v>2023</v>
      </c>
      <c r="P1163" s="25">
        <f>DATE(YEAR(B1163),MONTH(B1163),1)</f>
        <v>45200</v>
      </c>
      <c r="Q1163" s="22" t="str">
        <f>IF(N1163&gt;Summary!$C$17,"Outlier","")</f>
        <v/>
      </c>
      <c r="R1163" s="22" t="str">
        <f>IF(L1163="","None",L1163)</f>
        <v>WINTER15</v>
      </c>
    </row>
    <row r="1164" spans="1:18" x14ac:dyDescent="0.2">
      <c r="A1164" s="22" t="s">
        <v>4223</v>
      </c>
      <c r="B1164" s="23">
        <v>45727</v>
      </c>
      <c r="C1164" s="22" t="s">
        <v>4224</v>
      </c>
      <c r="D1164" s="22" t="s">
        <v>67</v>
      </c>
      <c r="E1164" s="22">
        <v>2</v>
      </c>
      <c r="F1164" s="24">
        <v>224.37</v>
      </c>
      <c r="G1164" s="22" t="s">
        <v>4225</v>
      </c>
      <c r="H1164" s="22" t="s">
        <v>77</v>
      </c>
      <c r="I1164" s="22" t="s">
        <v>69</v>
      </c>
      <c r="J1164" s="22" t="s">
        <v>4226</v>
      </c>
      <c r="K1164" s="22">
        <v>3</v>
      </c>
      <c r="L1164" s="22" t="s">
        <v>84</v>
      </c>
      <c r="M1164" s="22" t="s">
        <v>90</v>
      </c>
      <c r="N1164" s="24">
        <v>448.74</v>
      </c>
      <c r="O1164" s="22">
        <f>YEAR(B1164)</f>
        <v>2025</v>
      </c>
      <c r="P1164" s="25">
        <f>DATE(YEAR(B1164),MONTH(B1164),1)</f>
        <v>45717</v>
      </c>
      <c r="Q1164" s="22" t="str">
        <f>IF(N1164&gt;Summary!$C$17,"Outlier","")</f>
        <v/>
      </c>
      <c r="R1164" s="22" t="str">
        <f>IF(L1164="","None",L1164)</f>
        <v>WINTER15</v>
      </c>
    </row>
    <row r="1165" spans="1:18" x14ac:dyDescent="0.2">
      <c r="A1165" s="22" t="s">
        <v>4227</v>
      </c>
      <c r="B1165" s="23">
        <v>45454</v>
      </c>
      <c r="C1165" s="22" t="s">
        <v>4228</v>
      </c>
      <c r="D1165" s="22" t="s">
        <v>63</v>
      </c>
      <c r="E1165" s="22">
        <v>3</v>
      </c>
      <c r="F1165" s="24">
        <v>306.29000000000002</v>
      </c>
      <c r="G1165" s="22" t="s">
        <v>4229</v>
      </c>
      <c r="H1165" s="22" t="s">
        <v>76</v>
      </c>
      <c r="I1165" s="22" t="s">
        <v>72</v>
      </c>
      <c r="J1165" s="22" t="s">
        <v>4230</v>
      </c>
      <c r="K1165" s="22">
        <v>7</v>
      </c>
      <c r="L1165" s="22" t="s">
        <v>84</v>
      </c>
      <c r="M1165" s="22" t="s">
        <v>89</v>
      </c>
      <c r="N1165" s="24">
        <v>918.87</v>
      </c>
      <c r="O1165" s="22">
        <f>YEAR(B1165)</f>
        <v>2024</v>
      </c>
      <c r="P1165" s="25">
        <f>DATE(YEAR(B1165),MONTH(B1165),1)</f>
        <v>45444</v>
      </c>
      <c r="Q1165" s="22" t="str">
        <f>IF(N1165&gt;Summary!$C$17,"Outlier","")</f>
        <v/>
      </c>
      <c r="R1165" s="22" t="str">
        <f>IF(L1165="","None",L1165)</f>
        <v>WINTER15</v>
      </c>
    </row>
    <row r="1166" spans="1:18" x14ac:dyDescent="0.2">
      <c r="A1166" s="22" t="s">
        <v>4231</v>
      </c>
      <c r="B1166" s="23">
        <v>45299</v>
      </c>
      <c r="C1166" s="22" t="s">
        <v>4232</v>
      </c>
      <c r="D1166" s="22" t="s">
        <v>64</v>
      </c>
      <c r="E1166" s="22">
        <v>5</v>
      </c>
      <c r="F1166" s="24">
        <v>315.57</v>
      </c>
      <c r="G1166" s="22" t="s">
        <v>2271</v>
      </c>
      <c r="H1166" s="22" t="s">
        <v>77</v>
      </c>
      <c r="I1166" s="22" t="s">
        <v>69</v>
      </c>
      <c r="J1166" s="22" t="s">
        <v>4233</v>
      </c>
      <c r="K1166" s="22">
        <v>6</v>
      </c>
      <c r="L1166" s="22" t="s">
        <v>84</v>
      </c>
      <c r="M1166" s="22" t="s">
        <v>86</v>
      </c>
      <c r="N1166" s="24">
        <v>1577.85</v>
      </c>
      <c r="O1166" s="22">
        <f>YEAR(B1166)</f>
        <v>2024</v>
      </c>
      <c r="P1166" s="25">
        <f>DATE(YEAR(B1166),MONTH(B1166),1)</f>
        <v>45292</v>
      </c>
      <c r="Q1166" s="22" t="str">
        <f>IF(N1166&gt;Summary!$C$17,"Outlier","")</f>
        <v/>
      </c>
      <c r="R1166" s="22" t="str">
        <f>IF(L1166="","None",L1166)</f>
        <v>WINTER15</v>
      </c>
    </row>
    <row r="1167" spans="1:18" x14ac:dyDescent="0.2">
      <c r="A1167" s="22" t="s">
        <v>4234</v>
      </c>
      <c r="B1167" s="23">
        <v>45121</v>
      </c>
      <c r="C1167" s="22" t="s">
        <v>4235</v>
      </c>
      <c r="D1167" s="22" t="s">
        <v>61</v>
      </c>
      <c r="E1167" s="22">
        <v>3</v>
      </c>
      <c r="F1167" s="24">
        <v>223.79</v>
      </c>
      <c r="G1167" s="22" t="s">
        <v>4236</v>
      </c>
      <c r="H1167" s="22" t="s">
        <v>77</v>
      </c>
      <c r="I1167" s="22" t="s">
        <v>71</v>
      </c>
      <c r="J1167" s="22" t="s">
        <v>4237</v>
      </c>
      <c r="K1167" s="22">
        <v>3</v>
      </c>
      <c r="L1167" s="22"/>
      <c r="M1167" s="22" t="s">
        <v>88</v>
      </c>
      <c r="N1167" s="24">
        <v>671.37</v>
      </c>
      <c r="O1167" s="22">
        <f>YEAR(B1167)</f>
        <v>2023</v>
      </c>
      <c r="P1167" s="25">
        <f>DATE(YEAR(B1167),MONTH(B1167),1)</f>
        <v>45108</v>
      </c>
      <c r="Q1167" s="22" t="str">
        <f>IF(N1167&gt;Summary!$C$17,"Outlier","")</f>
        <v/>
      </c>
      <c r="R1167" s="22" t="str">
        <f>IF(L1167="","None",L1167)</f>
        <v>None</v>
      </c>
    </row>
    <row r="1168" spans="1:18" x14ac:dyDescent="0.2">
      <c r="A1168" s="22" t="s">
        <v>4238</v>
      </c>
      <c r="B1168" s="23">
        <v>45138</v>
      </c>
      <c r="C1168" s="22" t="s">
        <v>4239</v>
      </c>
      <c r="D1168" s="22" t="s">
        <v>61</v>
      </c>
      <c r="E1168" s="22">
        <v>3</v>
      </c>
      <c r="F1168" s="24">
        <v>324.47000000000003</v>
      </c>
      <c r="G1168" s="22" t="s">
        <v>441</v>
      </c>
      <c r="H1168" s="22" t="s">
        <v>75</v>
      </c>
      <c r="I1168" s="22" t="s">
        <v>69</v>
      </c>
      <c r="J1168" s="22" t="s">
        <v>4240</v>
      </c>
      <c r="K1168" s="22">
        <v>4</v>
      </c>
      <c r="L1168" s="22" t="s">
        <v>84</v>
      </c>
      <c r="M1168" s="22" t="s">
        <v>86</v>
      </c>
      <c r="N1168" s="24">
        <v>973.41</v>
      </c>
      <c r="O1168" s="22">
        <f>YEAR(B1168)</f>
        <v>2023</v>
      </c>
      <c r="P1168" s="25">
        <f>DATE(YEAR(B1168),MONTH(B1168),1)</f>
        <v>45108</v>
      </c>
      <c r="Q1168" s="22" t="str">
        <f>IF(N1168&gt;Summary!$C$17,"Outlier","")</f>
        <v/>
      </c>
      <c r="R1168" s="22" t="str">
        <f>IF(L1168="","None",L1168)</f>
        <v>WINTER15</v>
      </c>
    </row>
    <row r="1169" spans="1:18" x14ac:dyDescent="0.2">
      <c r="A1169" s="22" t="s">
        <v>4241</v>
      </c>
      <c r="B1169" s="23">
        <v>45216</v>
      </c>
      <c r="C1169" s="22" t="s">
        <v>4242</v>
      </c>
      <c r="D1169" s="22" t="s">
        <v>62</v>
      </c>
      <c r="E1169" s="22">
        <v>2</v>
      </c>
      <c r="F1169" s="24">
        <v>92.87</v>
      </c>
      <c r="G1169" s="22" t="s">
        <v>1178</v>
      </c>
      <c r="H1169" s="22" t="s">
        <v>76</v>
      </c>
      <c r="I1169" s="22" t="s">
        <v>71</v>
      </c>
      <c r="J1169" s="22" t="s">
        <v>4243</v>
      </c>
      <c r="K1169" s="22">
        <v>5</v>
      </c>
      <c r="L1169" s="22" t="s">
        <v>82</v>
      </c>
      <c r="M1169" s="22" t="s">
        <v>87</v>
      </c>
      <c r="N1169" s="24">
        <v>185.74</v>
      </c>
      <c r="O1169" s="22">
        <f>YEAR(B1169)</f>
        <v>2023</v>
      </c>
      <c r="P1169" s="25">
        <f>DATE(YEAR(B1169),MONTH(B1169),1)</f>
        <v>45200</v>
      </c>
      <c r="Q1169" s="22" t="str">
        <f>IF(N1169&gt;Summary!$C$17,"Outlier","")</f>
        <v/>
      </c>
      <c r="R1169" s="22" t="str">
        <f>IF(L1169="","None",L1169)</f>
        <v>FREESHIP</v>
      </c>
    </row>
    <row r="1170" spans="1:18" x14ac:dyDescent="0.2">
      <c r="A1170" s="22" t="s">
        <v>4244</v>
      </c>
      <c r="B1170" s="23">
        <v>45024</v>
      </c>
      <c r="C1170" s="22" t="s">
        <v>4245</v>
      </c>
      <c r="D1170" s="22" t="s">
        <v>63</v>
      </c>
      <c r="E1170" s="22">
        <v>2</v>
      </c>
      <c r="F1170" s="24">
        <v>331.42</v>
      </c>
      <c r="G1170" s="22" t="s">
        <v>4246</v>
      </c>
      <c r="H1170" s="22" t="s">
        <v>76</v>
      </c>
      <c r="I1170" s="22" t="s">
        <v>69</v>
      </c>
      <c r="J1170" s="22" t="s">
        <v>4247</v>
      </c>
      <c r="K1170" s="22">
        <v>6</v>
      </c>
      <c r="L1170" s="22" t="s">
        <v>84</v>
      </c>
      <c r="M1170" s="22" t="s">
        <v>88</v>
      </c>
      <c r="N1170" s="24">
        <v>662.84</v>
      </c>
      <c r="O1170" s="22">
        <f>YEAR(B1170)</f>
        <v>2023</v>
      </c>
      <c r="P1170" s="25">
        <f>DATE(YEAR(B1170),MONTH(B1170),1)</f>
        <v>45017</v>
      </c>
      <c r="Q1170" s="22" t="str">
        <f>IF(N1170&gt;Summary!$C$17,"Outlier","")</f>
        <v/>
      </c>
      <c r="R1170" s="22" t="str">
        <f>IF(L1170="","None",L1170)</f>
        <v>WINTER15</v>
      </c>
    </row>
    <row r="1171" spans="1:18" x14ac:dyDescent="0.2">
      <c r="A1171" s="22" t="s">
        <v>4248</v>
      </c>
      <c r="B1171" s="23">
        <v>45649</v>
      </c>
      <c r="C1171" s="22" t="s">
        <v>4249</v>
      </c>
      <c r="D1171" s="22" t="s">
        <v>61</v>
      </c>
      <c r="E1171" s="22">
        <v>1</v>
      </c>
      <c r="F1171" s="24">
        <v>525.42999999999995</v>
      </c>
      <c r="G1171" s="22" t="s">
        <v>4250</v>
      </c>
      <c r="H1171" s="22" t="s">
        <v>75</v>
      </c>
      <c r="I1171" s="22" t="s">
        <v>73</v>
      </c>
      <c r="J1171" s="22" t="s">
        <v>4251</v>
      </c>
      <c r="K1171" s="22">
        <v>2</v>
      </c>
      <c r="L1171" s="22" t="s">
        <v>83</v>
      </c>
      <c r="M1171" s="22" t="s">
        <v>89</v>
      </c>
      <c r="N1171" s="24">
        <v>525.42999999999995</v>
      </c>
      <c r="O1171" s="22">
        <f>YEAR(B1171)</f>
        <v>2024</v>
      </c>
      <c r="P1171" s="25">
        <f>DATE(YEAR(B1171),MONTH(B1171),1)</f>
        <v>45627</v>
      </c>
      <c r="Q1171" s="22" t="str">
        <f>IF(N1171&gt;Summary!$C$17,"Outlier","")</f>
        <v/>
      </c>
      <c r="R1171" s="22" t="str">
        <f>IF(L1171="","None",L1171)</f>
        <v>SAVE10</v>
      </c>
    </row>
    <row r="1172" spans="1:18" x14ac:dyDescent="0.2">
      <c r="A1172" s="22" t="s">
        <v>4252</v>
      </c>
      <c r="B1172" s="23">
        <v>45141</v>
      </c>
      <c r="C1172" s="22" t="s">
        <v>4253</v>
      </c>
      <c r="D1172" s="22" t="s">
        <v>62</v>
      </c>
      <c r="E1172" s="22">
        <v>2</v>
      </c>
      <c r="F1172" s="24">
        <v>697.19</v>
      </c>
      <c r="G1172" s="22" t="s">
        <v>1002</v>
      </c>
      <c r="H1172" s="22" t="s">
        <v>75</v>
      </c>
      <c r="I1172" s="22" t="s">
        <v>72</v>
      </c>
      <c r="J1172" s="22" t="s">
        <v>4254</v>
      </c>
      <c r="K1172" s="22">
        <v>7</v>
      </c>
      <c r="L1172" s="22" t="s">
        <v>82</v>
      </c>
      <c r="M1172" s="22" t="s">
        <v>86</v>
      </c>
      <c r="N1172" s="24">
        <v>1394.38</v>
      </c>
      <c r="O1172" s="22">
        <f>YEAR(B1172)</f>
        <v>2023</v>
      </c>
      <c r="P1172" s="25">
        <f>DATE(YEAR(B1172),MONTH(B1172),1)</f>
        <v>45139</v>
      </c>
      <c r="Q1172" s="22" t="str">
        <f>IF(N1172&gt;Summary!$C$17,"Outlier","")</f>
        <v/>
      </c>
      <c r="R1172" s="22" t="str">
        <f>IF(L1172="","None",L1172)</f>
        <v>FREESHIP</v>
      </c>
    </row>
    <row r="1173" spans="1:18" x14ac:dyDescent="0.2">
      <c r="A1173" s="22" t="s">
        <v>4255</v>
      </c>
      <c r="B1173" s="23">
        <v>45166</v>
      </c>
      <c r="C1173" s="22" t="s">
        <v>4256</v>
      </c>
      <c r="D1173" s="22" t="s">
        <v>67</v>
      </c>
      <c r="E1173" s="22">
        <v>4</v>
      </c>
      <c r="F1173" s="24">
        <v>518.4</v>
      </c>
      <c r="G1173" s="22" t="s">
        <v>4257</v>
      </c>
      <c r="H1173" s="22" t="s">
        <v>76</v>
      </c>
      <c r="I1173" s="22" t="s">
        <v>69</v>
      </c>
      <c r="J1173" s="22" t="s">
        <v>4258</v>
      </c>
      <c r="K1173" s="22">
        <v>7</v>
      </c>
      <c r="L1173" s="22" t="s">
        <v>83</v>
      </c>
      <c r="M1173" s="22" t="s">
        <v>87</v>
      </c>
      <c r="N1173" s="24">
        <v>2073.6</v>
      </c>
      <c r="O1173" s="22">
        <f>YEAR(B1173)</f>
        <v>2023</v>
      </c>
      <c r="P1173" s="25">
        <f>DATE(YEAR(B1173),MONTH(B1173),1)</f>
        <v>45139</v>
      </c>
      <c r="Q1173" s="22" t="str">
        <f>IF(N1173&gt;Summary!$C$17,"Outlier","")</f>
        <v/>
      </c>
      <c r="R1173" s="22" t="str">
        <f>IF(L1173="","None",L1173)</f>
        <v>SAVE10</v>
      </c>
    </row>
    <row r="1174" spans="1:18" x14ac:dyDescent="0.2">
      <c r="A1174" s="22" t="s">
        <v>4259</v>
      </c>
      <c r="B1174" s="23">
        <v>45692</v>
      </c>
      <c r="C1174" s="22" t="s">
        <v>4260</v>
      </c>
      <c r="D1174" s="22" t="s">
        <v>66</v>
      </c>
      <c r="E1174" s="22">
        <v>3</v>
      </c>
      <c r="F1174" s="24">
        <v>131.96</v>
      </c>
      <c r="G1174" s="22" t="s">
        <v>2004</v>
      </c>
      <c r="H1174" s="22" t="s">
        <v>76</v>
      </c>
      <c r="I1174" s="22" t="s">
        <v>71</v>
      </c>
      <c r="J1174" s="22" t="s">
        <v>4261</v>
      </c>
      <c r="K1174" s="22">
        <v>8</v>
      </c>
      <c r="L1174" s="22"/>
      <c r="M1174" s="22" t="s">
        <v>89</v>
      </c>
      <c r="N1174" s="24">
        <v>395.88</v>
      </c>
      <c r="O1174" s="22">
        <f>YEAR(B1174)</f>
        <v>2025</v>
      </c>
      <c r="P1174" s="25">
        <f>DATE(YEAR(B1174),MONTH(B1174),1)</f>
        <v>45689</v>
      </c>
      <c r="Q1174" s="22" t="str">
        <f>IF(N1174&gt;Summary!$C$17,"Outlier","")</f>
        <v/>
      </c>
      <c r="R1174" s="22" t="str">
        <f>IF(L1174="","None",L1174)</f>
        <v>None</v>
      </c>
    </row>
    <row r="1175" spans="1:18" x14ac:dyDescent="0.2">
      <c r="A1175" s="22" t="s">
        <v>4262</v>
      </c>
      <c r="B1175" s="23">
        <v>45569</v>
      </c>
      <c r="C1175" s="22" t="s">
        <v>4263</v>
      </c>
      <c r="D1175" s="22" t="s">
        <v>65</v>
      </c>
      <c r="E1175" s="22">
        <v>1</v>
      </c>
      <c r="F1175" s="24">
        <v>208.36</v>
      </c>
      <c r="G1175" s="22" t="s">
        <v>2749</v>
      </c>
      <c r="H1175" s="22" t="s">
        <v>79</v>
      </c>
      <c r="I1175" s="22" t="s">
        <v>70</v>
      </c>
      <c r="J1175" s="22" t="s">
        <v>4264</v>
      </c>
      <c r="K1175" s="22">
        <v>4</v>
      </c>
      <c r="L1175" s="22" t="s">
        <v>82</v>
      </c>
      <c r="M1175" s="22" t="s">
        <v>86</v>
      </c>
      <c r="N1175" s="24">
        <v>208.36</v>
      </c>
      <c r="O1175" s="22">
        <f>YEAR(B1175)</f>
        <v>2024</v>
      </c>
      <c r="P1175" s="25">
        <f>DATE(YEAR(B1175),MONTH(B1175),1)</f>
        <v>45566</v>
      </c>
      <c r="Q1175" s="22" t="str">
        <f>IF(N1175&gt;Summary!$C$17,"Outlier","")</f>
        <v/>
      </c>
      <c r="R1175" s="22" t="str">
        <f>IF(L1175="","None",L1175)</f>
        <v>FREESHIP</v>
      </c>
    </row>
    <row r="1176" spans="1:18" x14ac:dyDescent="0.2">
      <c r="A1176" s="22" t="s">
        <v>4265</v>
      </c>
      <c r="B1176" s="23">
        <v>45257</v>
      </c>
      <c r="C1176" s="22" t="s">
        <v>4266</v>
      </c>
      <c r="D1176" s="22" t="s">
        <v>62</v>
      </c>
      <c r="E1176" s="22">
        <v>3</v>
      </c>
      <c r="F1176" s="24">
        <v>222.34</v>
      </c>
      <c r="G1176" s="22" t="s">
        <v>4267</v>
      </c>
      <c r="H1176" s="22" t="s">
        <v>76</v>
      </c>
      <c r="I1176" s="22" t="s">
        <v>72</v>
      </c>
      <c r="J1176" s="22" t="s">
        <v>4268</v>
      </c>
      <c r="K1176" s="22">
        <v>5</v>
      </c>
      <c r="L1176" s="22" t="s">
        <v>84</v>
      </c>
      <c r="M1176" s="22" t="s">
        <v>86</v>
      </c>
      <c r="N1176" s="24">
        <v>667.02</v>
      </c>
      <c r="O1176" s="22">
        <f>YEAR(B1176)</f>
        <v>2023</v>
      </c>
      <c r="P1176" s="25">
        <f>DATE(YEAR(B1176),MONTH(B1176),1)</f>
        <v>45231</v>
      </c>
      <c r="Q1176" s="22" t="str">
        <f>IF(N1176&gt;Summary!$C$17,"Outlier","")</f>
        <v/>
      </c>
      <c r="R1176" s="22" t="str">
        <f>IF(L1176="","None",L1176)</f>
        <v>WINTER15</v>
      </c>
    </row>
    <row r="1177" spans="1:18" x14ac:dyDescent="0.2">
      <c r="A1177" s="22" t="s">
        <v>4269</v>
      </c>
      <c r="B1177" s="23">
        <v>45545</v>
      </c>
      <c r="C1177" s="22" t="s">
        <v>4270</v>
      </c>
      <c r="D1177" s="22" t="s">
        <v>62</v>
      </c>
      <c r="E1177" s="22">
        <v>3</v>
      </c>
      <c r="F1177" s="24">
        <v>91.74</v>
      </c>
      <c r="G1177" s="22" t="s">
        <v>1283</v>
      </c>
      <c r="H1177" s="22" t="s">
        <v>77</v>
      </c>
      <c r="I1177" s="22" t="s">
        <v>72</v>
      </c>
      <c r="J1177" s="22" t="s">
        <v>4271</v>
      </c>
      <c r="K1177" s="22">
        <v>8</v>
      </c>
      <c r="L1177" s="22" t="s">
        <v>82</v>
      </c>
      <c r="M1177" s="22" t="s">
        <v>90</v>
      </c>
      <c r="N1177" s="24">
        <v>275.22000000000003</v>
      </c>
      <c r="O1177" s="22">
        <f>YEAR(B1177)</f>
        <v>2024</v>
      </c>
      <c r="P1177" s="25">
        <f>DATE(YEAR(B1177),MONTH(B1177),1)</f>
        <v>45536</v>
      </c>
      <c r="Q1177" s="22" t="str">
        <f>IF(N1177&gt;Summary!$C$17,"Outlier","")</f>
        <v/>
      </c>
      <c r="R1177" s="22" t="str">
        <f>IF(L1177="","None",L1177)</f>
        <v>FREESHIP</v>
      </c>
    </row>
    <row r="1178" spans="1:18" x14ac:dyDescent="0.2">
      <c r="A1178" s="22" t="s">
        <v>4272</v>
      </c>
      <c r="B1178" s="23">
        <v>45151</v>
      </c>
      <c r="C1178" s="22" t="s">
        <v>4273</v>
      </c>
      <c r="D1178" s="22" t="s">
        <v>64</v>
      </c>
      <c r="E1178" s="22">
        <v>2</v>
      </c>
      <c r="F1178" s="24">
        <v>213.83</v>
      </c>
      <c r="G1178" s="22" t="s">
        <v>4274</v>
      </c>
      <c r="H1178" s="22" t="s">
        <v>77</v>
      </c>
      <c r="I1178" s="22" t="s">
        <v>73</v>
      </c>
      <c r="J1178" s="22" t="s">
        <v>4275</v>
      </c>
      <c r="K1178" s="22">
        <v>2</v>
      </c>
      <c r="L1178" s="22" t="s">
        <v>84</v>
      </c>
      <c r="M1178" s="22" t="s">
        <v>86</v>
      </c>
      <c r="N1178" s="24">
        <v>427.66</v>
      </c>
      <c r="O1178" s="22">
        <f>YEAR(B1178)</f>
        <v>2023</v>
      </c>
      <c r="P1178" s="25">
        <f>DATE(YEAR(B1178),MONTH(B1178),1)</f>
        <v>45139</v>
      </c>
      <c r="Q1178" s="22" t="str">
        <f>IF(N1178&gt;Summary!$C$17,"Outlier","")</f>
        <v/>
      </c>
      <c r="R1178" s="22" t="str">
        <f>IF(L1178="","None",L1178)</f>
        <v>WINTER15</v>
      </c>
    </row>
    <row r="1179" spans="1:18" x14ac:dyDescent="0.2">
      <c r="A1179" s="22" t="s">
        <v>4276</v>
      </c>
      <c r="B1179" s="23">
        <v>45043</v>
      </c>
      <c r="C1179" s="22" t="s">
        <v>4277</v>
      </c>
      <c r="D1179" s="22" t="s">
        <v>62</v>
      </c>
      <c r="E1179" s="22">
        <v>1</v>
      </c>
      <c r="F1179" s="24">
        <v>127.55</v>
      </c>
      <c r="G1179" s="22" t="s">
        <v>1745</v>
      </c>
      <c r="H1179" s="22" t="s">
        <v>75</v>
      </c>
      <c r="I1179" s="22" t="s">
        <v>70</v>
      </c>
      <c r="J1179" s="22" t="s">
        <v>4278</v>
      </c>
      <c r="K1179" s="22">
        <v>3</v>
      </c>
      <c r="L1179" s="22" t="s">
        <v>83</v>
      </c>
      <c r="M1179" s="22" t="s">
        <v>90</v>
      </c>
      <c r="N1179" s="24">
        <v>127.55</v>
      </c>
      <c r="O1179" s="22">
        <f>YEAR(B1179)</f>
        <v>2023</v>
      </c>
      <c r="P1179" s="25">
        <f>DATE(YEAR(B1179),MONTH(B1179),1)</f>
        <v>45017</v>
      </c>
      <c r="Q1179" s="22" t="str">
        <f>IF(N1179&gt;Summary!$C$17,"Outlier","")</f>
        <v/>
      </c>
      <c r="R1179" s="22" t="str">
        <f>IF(L1179="","None",L1179)</f>
        <v>SAVE10</v>
      </c>
    </row>
    <row r="1180" spans="1:18" x14ac:dyDescent="0.2">
      <c r="A1180" s="22" t="s">
        <v>4279</v>
      </c>
      <c r="B1180" s="23">
        <v>45543</v>
      </c>
      <c r="C1180" s="22" t="s">
        <v>4280</v>
      </c>
      <c r="D1180" s="22" t="s">
        <v>65</v>
      </c>
      <c r="E1180" s="22">
        <v>1</v>
      </c>
      <c r="F1180" s="24">
        <v>70.239999999999995</v>
      </c>
      <c r="G1180" s="22" t="s">
        <v>1041</v>
      </c>
      <c r="H1180" s="22" t="s">
        <v>76</v>
      </c>
      <c r="I1180" s="22" t="s">
        <v>73</v>
      </c>
      <c r="J1180" s="22" t="s">
        <v>4281</v>
      </c>
      <c r="K1180" s="22">
        <v>4</v>
      </c>
      <c r="L1180" s="22" t="s">
        <v>82</v>
      </c>
      <c r="M1180" s="22" t="s">
        <v>88</v>
      </c>
      <c r="N1180" s="24">
        <v>70.239999999999995</v>
      </c>
      <c r="O1180" s="22">
        <f>YEAR(B1180)</f>
        <v>2024</v>
      </c>
      <c r="P1180" s="25">
        <f>DATE(YEAR(B1180),MONTH(B1180),1)</f>
        <v>45536</v>
      </c>
      <c r="Q1180" s="22" t="str">
        <f>IF(N1180&gt;Summary!$C$17,"Outlier","")</f>
        <v/>
      </c>
      <c r="R1180" s="22" t="str">
        <f>IF(L1180="","None",L1180)</f>
        <v>FREESHIP</v>
      </c>
    </row>
    <row r="1181" spans="1:18" x14ac:dyDescent="0.2">
      <c r="A1181" s="22" t="s">
        <v>4282</v>
      </c>
      <c r="B1181" s="23">
        <v>44934</v>
      </c>
      <c r="C1181" s="22" t="s">
        <v>4283</v>
      </c>
      <c r="D1181" s="22" t="s">
        <v>63</v>
      </c>
      <c r="E1181" s="22">
        <v>5</v>
      </c>
      <c r="F1181" s="24">
        <v>518.54999999999995</v>
      </c>
      <c r="G1181" s="22" t="s">
        <v>1483</v>
      </c>
      <c r="H1181" s="22" t="s">
        <v>76</v>
      </c>
      <c r="I1181" s="22" t="s">
        <v>73</v>
      </c>
      <c r="J1181" s="22" t="s">
        <v>4284</v>
      </c>
      <c r="K1181" s="22">
        <v>6</v>
      </c>
      <c r="L1181" s="22" t="s">
        <v>84</v>
      </c>
      <c r="M1181" s="22" t="s">
        <v>89</v>
      </c>
      <c r="N1181" s="24">
        <v>2592.75</v>
      </c>
      <c r="O1181" s="22">
        <f>YEAR(B1181)</f>
        <v>2023</v>
      </c>
      <c r="P1181" s="25">
        <f>DATE(YEAR(B1181),MONTH(B1181),1)</f>
        <v>44927</v>
      </c>
      <c r="Q1181" s="22" t="str">
        <f>IF(N1181&gt;Summary!$C$17,"Outlier","")</f>
        <v/>
      </c>
      <c r="R1181" s="22" t="str">
        <f>IF(L1181="","None",L1181)</f>
        <v>WINTER15</v>
      </c>
    </row>
    <row r="1182" spans="1:18" x14ac:dyDescent="0.2">
      <c r="A1182" s="22" t="s">
        <v>4285</v>
      </c>
      <c r="B1182" s="23">
        <v>45230</v>
      </c>
      <c r="C1182" s="22" t="s">
        <v>4286</v>
      </c>
      <c r="D1182" s="22" t="s">
        <v>61</v>
      </c>
      <c r="E1182" s="22">
        <v>4</v>
      </c>
      <c r="F1182" s="24">
        <v>298.36</v>
      </c>
      <c r="G1182" s="22" t="s">
        <v>2103</v>
      </c>
      <c r="H1182" s="22" t="s">
        <v>77</v>
      </c>
      <c r="I1182" s="22" t="s">
        <v>71</v>
      </c>
      <c r="J1182" s="22" t="s">
        <v>4287</v>
      </c>
      <c r="K1182" s="22">
        <v>8</v>
      </c>
      <c r="L1182" s="22" t="s">
        <v>82</v>
      </c>
      <c r="M1182" s="22" t="s">
        <v>88</v>
      </c>
      <c r="N1182" s="24">
        <v>1193.44</v>
      </c>
      <c r="O1182" s="22">
        <f>YEAR(B1182)</f>
        <v>2023</v>
      </c>
      <c r="P1182" s="25">
        <f>DATE(YEAR(B1182),MONTH(B1182),1)</f>
        <v>45200</v>
      </c>
      <c r="Q1182" s="22" t="str">
        <f>IF(N1182&gt;Summary!$C$17,"Outlier","")</f>
        <v/>
      </c>
      <c r="R1182" s="22" t="str">
        <f>IF(L1182="","None",L1182)</f>
        <v>FREESHIP</v>
      </c>
    </row>
    <row r="1183" spans="1:18" x14ac:dyDescent="0.2">
      <c r="A1183" s="22" t="s">
        <v>4288</v>
      </c>
      <c r="B1183" s="23">
        <v>45134</v>
      </c>
      <c r="C1183" s="22" t="s">
        <v>4289</v>
      </c>
      <c r="D1183" s="22" t="s">
        <v>66</v>
      </c>
      <c r="E1183" s="22">
        <v>3</v>
      </c>
      <c r="F1183" s="24">
        <v>158.74</v>
      </c>
      <c r="G1183" s="22" t="s">
        <v>1423</v>
      </c>
      <c r="H1183" s="22" t="s">
        <v>79</v>
      </c>
      <c r="I1183" s="22" t="s">
        <v>71</v>
      </c>
      <c r="J1183" s="22" t="s">
        <v>4290</v>
      </c>
      <c r="K1183" s="22">
        <v>7</v>
      </c>
      <c r="L1183" s="22" t="s">
        <v>82</v>
      </c>
      <c r="M1183" s="22" t="s">
        <v>89</v>
      </c>
      <c r="N1183" s="24">
        <v>476.22</v>
      </c>
      <c r="O1183" s="22">
        <f>YEAR(B1183)</f>
        <v>2023</v>
      </c>
      <c r="P1183" s="25">
        <f>DATE(YEAR(B1183),MONTH(B1183),1)</f>
        <v>45108</v>
      </c>
      <c r="Q1183" s="22" t="str">
        <f>IF(N1183&gt;Summary!$C$17,"Outlier","")</f>
        <v/>
      </c>
      <c r="R1183" s="22" t="str">
        <f>IF(L1183="","None",L1183)</f>
        <v>FREESHIP</v>
      </c>
    </row>
    <row r="1184" spans="1:18" x14ac:dyDescent="0.2">
      <c r="A1184" s="22" t="s">
        <v>4291</v>
      </c>
      <c r="B1184" s="23">
        <v>45822</v>
      </c>
      <c r="C1184" s="22" t="s">
        <v>4292</v>
      </c>
      <c r="D1184" s="22" t="s">
        <v>61</v>
      </c>
      <c r="E1184" s="22">
        <v>2</v>
      </c>
      <c r="F1184" s="24">
        <v>420.29</v>
      </c>
      <c r="G1184" s="22" t="s">
        <v>2331</v>
      </c>
      <c r="H1184" s="22" t="s">
        <v>78</v>
      </c>
      <c r="I1184" s="22" t="s">
        <v>72</v>
      </c>
      <c r="J1184" s="22" t="s">
        <v>4293</v>
      </c>
      <c r="K1184" s="22">
        <v>3</v>
      </c>
      <c r="L1184" s="22" t="s">
        <v>83</v>
      </c>
      <c r="M1184" s="22" t="s">
        <v>88</v>
      </c>
      <c r="N1184" s="24">
        <v>840.58</v>
      </c>
      <c r="O1184" s="22">
        <f>YEAR(B1184)</f>
        <v>2025</v>
      </c>
      <c r="P1184" s="25">
        <f>DATE(YEAR(B1184),MONTH(B1184),1)</f>
        <v>45809</v>
      </c>
      <c r="Q1184" s="22" t="str">
        <f>IF(N1184&gt;Summary!$C$17,"Outlier","")</f>
        <v/>
      </c>
      <c r="R1184" s="22" t="str">
        <f>IF(L1184="","None",L1184)</f>
        <v>SAVE10</v>
      </c>
    </row>
    <row r="1185" spans="1:18" x14ac:dyDescent="0.2">
      <c r="A1185" s="22" t="s">
        <v>4294</v>
      </c>
      <c r="B1185" s="23">
        <v>45021</v>
      </c>
      <c r="C1185" s="22" t="s">
        <v>4295</v>
      </c>
      <c r="D1185" s="22" t="s">
        <v>66</v>
      </c>
      <c r="E1185" s="22">
        <v>1</v>
      </c>
      <c r="F1185" s="24">
        <v>281.52</v>
      </c>
      <c r="G1185" s="22" t="s">
        <v>1124</v>
      </c>
      <c r="H1185" s="22" t="s">
        <v>78</v>
      </c>
      <c r="I1185" s="22" t="s">
        <v>70</v>
      </c>
      <c r="J1185" s="22" t="s">
        <v>4296</v>
      </c>
      <c r="K1185" s="22">
        <v>6</v>
      </c>
      <c r="L1185" s="22" t="s">
        <v>84</v>
      </c>
      <c r="M1185" s="22" t="s">
        <v>90</v>
      </c>
      <c r="N1185" s="24">
        <v>281.52</v>
      </c>
      <c r="O1185" s="22">
        <f>YEAR(B1185)</f>
        <v>2023</v>
      </c>
      <c r="P1185" s="25">
        <f>DATE(YEAR(B1185),MONTH(B1185),1)</f>
        <v>45017</v>
      </c>
      <c r="Q1185" s="22" t="str">
        <f>IF(N1185&gt;Summary!$C$17,"Outlier","")</f>
        <v/>
      </c>
      <c r="R1185" s="22" t="str">
        <f>IF(L1185="","None",L1185)</f>
        <v>WINTER15</v>
      </c>
    </row>
    <row r="1186" spans="1:18" x14ac:dyDescent="0.2">
      <c r="A1186" s="22" t="s">
        <v>4297</v>
      </c>
      <c r="B1186" s="23">
        <v>45196</v>
      </c>
      <c r="C1186" s="22" t="s">
        <v>4298</v>
      </c>
      <c r="D1186" s="22" t="s">
        <v>63</v>
      </c>
      <c r="E1186" s="22">
        <v>1</v>
      </c>
      <c r="F1186" s="24">
        <v>204.08</v>
      </c>
      <c r="G1186" s="22" t="s">
        <v>3079</v>
      </c>
      <c r="H1186" s="22" t="s">
        <v>78</v>
      </c>
      <c r="I1186" s="22" t="s">
        <v>72</v>
      </c>
      <c r="J1186" s="22" t="s">
        <v>4299</v>
      </c>
      <c r="K1186" s="22">
        <v>4</v>
      </c>
      <c r="L1186" s="22"/>
      <c r="M1186" s="22" t="s">
        <v>88</v>
      </c>
      <c r="N1186" s="24">
        <v>204.08</v>
      </c>
      <c r="O1186" s="22">
        <f>YEAR(B1186)</f>
        <v>2023</v>
      </c>
      <c r="P1186" s="25">
        <f>DATE(YEAR(B1186),MONTH(B1186),1)</f>
        <v>45170</v>
      </c>
      <c r="Q1186" s="22" t="str">
        <f>IF(N1186&gt;Summary!$C$17,"Outlier","")</f>
        <v/>
      </c>
      <c r="R1186" s="22" t="str">
        <f>IF(L1186="","None",L1186)</f>
        <v>None</v>
      </c>
    </row>
    <row r="1187" spans="1:18" x14ac:dyDescent="0.2">
      <c r="A1187" s="22" t="s">
        <v>4300</v>
      </c>
      <c r="B1187" s="23">
        <v>45481</v>
      </c>
      <c r="C1187" s="22" t="s">
        <v>4301</v>
      </c>
      <c r="D1187" s="22" t="s">
        <v>61</v>
      </c>
      <c r="E1187" s="22">
        <v>1</v>
      </c>
      <c r="F1187" s="24">
        <v>343.31</v>
      </c>
      <c r="G1187" s="22" t="s">
        <v>4302</v>
      </c>
      <c r="H1187" s="22" t="s">
        <v>78</v>
      </c>
      <c r="I1187" s="22" t="s">
        <v>72</v>
      </c>
      <c r="J1187" s="22" t="s">
        <v>4303</v>
      </c>
      <c r="K1187" s="22">
        <v>6</v>
      </c>
      <c r="L1187" s="22" t="s">
        <v>83</v>
      </c>
      <c r="M1187" s="22" t="s">
        <v>88</v>
      </c>
      <c r="N1187" s="24">
        <v>343.31</v>
      </c>
      <c r="O1187" s="22">
        <f>YEAR(B1187)</f>
        <v>2024</v>
      </c>
      <c r="P1187" s="25">
        <f>DATE(YEAR(B1187),MONTH(B1187),1)</f>
        <v>45474</v>
      </c>
      <c r="Q1187" s="22" t="str">
        <f>IF(N1187&gt;Summary!$C$17,"Outlier","")</f>
        <v/>
      </c>
      <c r="R1187" s="22" t="str">
        <f>IF(L1187="","None",L1187)</f>
        <v>SAVE10</v>
      </c>
    </row>
    <row r="1188" spans="1:18" x14ac:dyDescent="0.2">
      <c r="A1188" s="22" t="s">
        <v>4304</v>
      </c>
      <c r="B1188" s="23">
        <v>45248</v>
      </c>
      <c r="C1188" s="22" t="s">
        <v>4305</v>
      </c>
      <c r="D1188" s="22" t="s">
        <v>65</v>
      </c>
      <c r="E1188" s="22">
        <v>1</v>
      </c>
      <c r="F1188" s="24">
        <v>163.32</v>
      </c>
      <c r="G1188" s="22" t="s">
        <v>4306</v>
      </c>
      <c r="H1188" s="22" t="s">
        <v>75</v>
      </c>
      <c r="I1188" s="22" t="s">
        <v>70</v>
      </c>
      <c r="J1188" s="22" t="s">
        <v>4307</v>
      </c>
      <c r="K1188" s="22">
        <v>6</v>
      </c>
      <c r="L1188" s="22" t="s">
        <v>84</v>
      </c>
      <c r="M1188" s="22" t="s">
        <v>87</v>
      </c>
      <c r="N1188" s="24">
        <v>163.32</v>
      </c>
      <c r="O1188" s="22">
        <f>YEAR(B1188)</f>
        <v>2023</v>
      </c>
      <c r="P1188" s="25">
        <f>DATE(YEAR(B1188),MONTH(B1188),1)</f>
        <v>45231</v>
      </c>
      <c r="Q1188" s="22" t="str">
        <f>IF(N1188&gt;Summary!$C$17,"Outlier","")</f>
        <v/>
      </c>
      <c r="R1188" s="22" t="str">
        <f>IF(L1188="","None",L1188)</f>
        <v>WINTER15</v>
      </c>
    </row>
    <row r="1189" spans="1:18" x14ac:dyDescent="0.2">
      <c r="A1189" s="22" t="s">
        <v>4308</v>
      </c>
      <c r="B1189" s="23">
        <v>45364</v>
      </c>
      <c r="C1189" s="22" t="s">
        <v>4309</v>
      </c>
      <c r="D1189" s="22" t="s">
        <v>66</v>
      </c>
      <c r="E1189" s="22">
        <v>2</v>
      </c>
      <c r="F1189" s="24">
        <v>184.6</v>
      </c>
      <c r="G1189" s="22" t="s">
        <v>1029</v>
      </c>
      <c r="H1189" s="22" t="s">
        <v>78</v>
      </c>
      <c r="I1189" s="22" t="s">
        <v>69</v>
      </c>
      <c r="J1189" s="22" t="s">
        <v>4310</v>
      </c>
      <c r="K1189" s="22">
        <v>7</v>
      </c>
      <c r="L1189" s="22" t="s">
        <v>84</v>
      </c>
      <c r="M1189" s="22" t="s">
        <v>86</v>
      </c>
      <c r="N1189" s="24">
        <v>369.2</v>
      </c>
      <c r="O1189" s="22">
        <f>YEAR(B1189)</f>
        <v>2024</v>
      </c>
      <c r="P1189" s="25">
        <f>DATE(YEAR(B1189),MONTH(B1189),1)</f>
        <v>45352</v>
      </c>
      <c r="Q1189" s="22" t="str">
        <f>IF(N1189&gt;Summary!$C$17,"Outlier","")</f>
        <v/>
      </c>
      <c r="R1189" s="22" t="str">
        <f>IF(L1189="","None",L1189)</f>
        <v>WINTER15</v>
      </c>
    </row>
    <row r="1190" spans="1:18" x14ac:dyDescent="0.2">
      <c r="A1190" s="22" t="s">
        <v>4311</v>
      </c>
      <c r="B1190" s="23">
        <v>45206</v>
      </c>
      <c r="C1190" s="22" t="s">
        <v>4312</v>
      </c>
      <c r="D1190" s="22" t="s">
        <v>62</v>
      </c>
      <c r="E1190" s="22">
        <v>2</v>
      </c>
      <c r="F1190" s="24">
        <v>371.29</v>
      </c>
      <c r="G1190" s="22" t="s">
        <v>4313</v>
      </c>
      <c r="H1190" s="22" t="s">
        <v>78</v>
      </c>
      <c r="I1190" s="22" t="s">
        <v>70</v>
      </c>
      <c r="J1190" s="22" t="s">
        <v>4314</v>
      </c>
      <c r="K1190" s="22">
        <v>5</v>
      </c>
      <c r="L1190" s="22" t="s">
        <v>84</v>
      </c>
      <c r="M1190" s="22" t="s">
        <v>87</v>
      </c>
      <c r="N1190" s="24">
        <v>742.58</v>
      </c>
      <c r="O1190" s="22">
        <f>YEAR(B1190)</f>
        <v>2023</v>
      </c>
      <c r="P1190" s="25">
        <f>DATE(YEAR(B1190),MONTH(B1190),1)</f>
        <v>45200</v>
      </c>
      <c r="Q1190" s="22" t="str">
        <f>IF(N1190&gt;Summary!$C$17,"Outlier","")</f>
        <v/>
      </c>
      <c r="R1190" s="22" t="str">
        <f>IF(L1190="","None",L1190)</f>
        <v>WINTER15</v>
      </c>
    </row>
    <row r="1191" spans="1:18" x14ac:dyDescent="0.2">
      <c r="A1191" s="22" t="s">
        <v>4315</v>
      </c>
      <c r="B1191" s="23">
        <v>45521</v>
      </c>
      <c r="C1191" s="22" t="s">
        <v>4316</v>
      </c>
      <c r="D1191" s="22" t="s">
        <v>64</v>
      </c>
      <c r="E1191" s="22">
        <v>5</v>
      </c>
      <c r="F1191" s="24">
        <v>389.22</v>
      </c>
      <c r="G1191" s="22" t="s">
        <v>4317</v>
      </c>
      <c r="H1191" s="22" t="s">
        <v>75</v>
      </c>
      <c r="I1191" s="22" t="s">
        <v>73</v>
      </c>
      <c r="J1191" s="22" t="s">
        <v>4318</v>
      </c>
      <c r="K1191" s="22">
        <v>7</v>
      </c>
      <c r="L1191" s="22"/>
      <c r="M1191" s="22" t="s">
        <v>90</v>
      </c>
      <c r="N1191" s="24">
        <v>1946.1</v>
      </c>
      <c r="O1191" s="22">
        <f>YEAR(B1191)</f>
        <v>2024</v>
      </c>
      <c r="P1191" s="25">
        <f>DATE(YEAR(B1191),MONTH(B1191),1)</f>
        <v>45505</v>
      </c>
      <c r="Q1191" s="22" t="str">
        <f>IF(N1191&gt;Summary!$C$17,"Outlier","")</f>
        <v/>
      </c>
      <c r="R1191" s="22" t="str">
        <f>IF(L1191="","None",L1191)</f>
        <v>None</v>
      </c>
    </row>
    <row r="1192" spans="1:18" x14ac:dyDescent="0.2">
      <c r="A1192" s="22" t="s">
        <v>4319</v>
      </c>
      <c r="B1192" s="23">
        <v>45816</v>
      </c>
      <c r="C1192" s="22" t="s">
        <v>4320</v>
      </c>
      <c r="D1192" s="22" t="s">
        <v>66</v>
      </c>
      <c r="E1192" s="22">
        <v>3</v>
      </c>
      <c r="F1192" s="24">
        <v>616.39</v>
      </c>
      <c r="G1192" s="22" t="s">
        <v>4321</v>
      </c>
      <c r="H1192" s="22" t="s">
        <v>76</v>
      </c>
      <c r="I1192" s="22" t="s">
        <v>70</v>
      </c>
      <c r="J1192" s="22" t="s">
        <v>4322</v>
      </c>
      <c r="K1192" s="22">
        <v>6</v>
      </c>
      <c r="L1192" s="22" t="s">
        <v>82</v>
      </c>
      <c r="M1192" s="22" t="s">
        <v>89</v>
      </c>
      <c r="N1192" s="24">
        <v>1849.17</v>
      </c>
      <c r="O1192" s="22">
        <f>YEAR(B1192)</f>
        <v>2025</v>
      </c>
      <c r="P1192" s="25">
        <f>DATE(YEAR(B1192),MONTH(B1192),1)</f>
        <v>45809</v>
      </c>
      <c r="Q1192" s="22" t="str">
        <f>IF(N1192&gt;Summary!$C$17,"Outlier","")</f>
        <v/>
      </c>
      <c r="R1192" s="22" t="str">
        <f>IF(L1192="","None",L1192)</f>
        <v>FREESHIP</v>
      </c>
    </row>
    <row r="1193" spans="1:18" x14ac:dyDescent="0.2">
      <c r="A1193" s="22" t="s">
        <v>4323</v>
      </c>
      <c r="B1193" s="23">
        <v>45698</v>
      </c>
      <c r="C1193" s="22" t="s">
        <v>4324</v>
      </c>
      <c r="D1193" s="22" t="s">
        <v>66</v>
      </c>
      <c r="E1193" s="22">
        <v>4</v>
      </c>
      <c r="F1193" s="24">
        <v>376.43</v>
      </c>
      <c r="G1193" s="22" t="s">
        <v>2372</v>
      </c>
      <c r="H1193" s="22" t="s">
        <v>78</v>
      </c>
      <c r="I1193" s="22" t="s">
        <v>71</v>
      </c>
      <c r="J1193" s="22" t="s">
        <v>4325</v>
      </c>
      <c r="K1193" s="22">
        <v>5</v>
      </c>
      <c r="L1193" s="22" t="s">
        <v>84</v>
      </c>
      <c r="M1193" s="22" t="s">
        <v>89</v>
      </c>
      <c r="N1193" s="24">
        <v>1505.72</v>
      </c>
      <c r="O1193" s="22">
        <f>YEAR(B1193)</f>
        <v>2025</v>
      </c>
      <c r="P1193" s="25">
        <f>DATE(YEAR(B1193),MONTH(B1193),1)</f>
        <v>45689</v>
      </c>
      <c r="Q1193" s="22" t="str">
        <f>IF(N1193&gt;Summary!$C$17,"Outlier","")</f>
        <v/>
      </c>
      <c r="R1193" s="22" t="str">
        <f>IF(L1193="","None",L1193)</f>
        <v>WINTER15</v>
      </c>
    </row>
    <row r="1194" spans="1:18" x14ac:dyDescent="0.2">
      <c r="A1194" s="22" t="s">
        <v>4326</v>
      </c>
      <c r="B1194" s="23">
        <v>45350</v>
      </c>
      <c r="C1194" s="22" t="s">
        <v>4327</v>
      </c>
      <c r="D1194" s="22" t="s">
        <v>61</v>
      </c>
      <c r="E1194" s="22">
        <v>3</v>
      </c>
      <c r="F1194" s="24">
        <v>432.85</v>
      </c>
      <c r="G1194" s="22" t="s">
        <v>922</v>
      </c>
      <c r="H1194" s="22" t="s">
        <v>79</v>
      </c>
      <c r="I1194" s="22" t="s">
        <v>71</v>
      </c>
      <c r="J1194" s="22" t="s">
        <v>4328</v>
      </c>
      <c r="K1194" s="22">
        <v>4</v>
      </c>
      <c r="L1194" s="22"/>
      <c r="M1194" s="22" t="s">
        <v>89</v>
      </c>
      <c r="N1194" s="24">
        <v>1298.55</v>
      </c>
      <c r="O1194" s="22">
        <f>YEAR(B1194)</f>
        <v>2024</v>
      </c>
      <c r="P1194" s="25">
        <f>DATE(YEAR(B1194),MONTH(B1194),1)</f>
        <v>45323</v>
      </c>
      <c r="Q1194" s="22" t="str">
        <f>IF(N1194&gt;Summary!$C$17,"Outlier","")</f>
        <v/>
      </c>
      <c r="R1194" s="22" t="str">
        <f>IF(L1194="","None",L1194)</f>
        <v>None</v>
      </c>
    </row>
    <row r="1195" spans="1:18" x14ac:dyDescent="0.2">
      <c r="A1195" s="22" t="s">
        <v>4329</v>
      </c>
      <c r="B1195" s="23">
        <v>45824</v>
      </c>
      <c r="C1195" s="22" t="s">
        <v>4330</v>
      </c>
      <c r="D1195" s="22" t="s">
        <v>64</v>
      </c>
      <c r="E1195" s="22">
        <v>1</v>
      </c>
      <c r="F1195" s="24">
        <v>687.89</v>
      </c>
      <c r="G1195" s="22" t="s">
        <v>421</v>
      </c>
      <c r="H1195" s="22" t="s">
        <v>75</v>
      </c>
      <c r="I1195" s="22" t="s">
        <v>72</v>
      </c>
      <c r="J1195" s="22" t="s">
        <v>4331</v>
      </c>
      <c r="K1195" s="22">
        <v>1</v>
      </c>
      <c r="L1195" s="22" t="s">
        <v>82</v>
      </c>
      <c r="M1195" s="22" t="s">
        <v>86</v>
      </c>
      <c r="N1195" s="24">
        <v>687.89</v>
      </c>
      <c r="O1195" s="22">
        <f>YEAR(B1195)</f>
        <v>2025</v>
      </c>
      <c r="P1195" s="25">
        <f>DATE(YEAR(B1195),MONTH(B1195),1)</f>
        <v>45809</v>
      </c>
      <c r="Q1195" s="22" t="str">
        <f>IF(N1195&gt;Summary!$C$17,"Outlier","")</f>
        <v/>
      </c>
      <c r="R1195" s="22" t="str">
        <f>IF(L1195="","None",L1195)</f>
        <v>FREESHIP</v>
      </c>
    </row>
    <row r="1196" spans="1:18" x14ac:dyDescent="0.2">
      <c r="A1196" s="22" t="s">
        <v>4332</v>
      </c>
      <c r="B1196" s="23">
        <v>45249</v>
      </c>
      <c r="C1196" s="22" t="s">
        <v>4333</v>
      </c>
      <c r="D1196" s="22" t="s">
        <v>62</v>
      </c>
      <c r="E1196" s="22">
        <v>3</v>
      </c>
      <c r="F1196" s="24">
        <v>189.44</v>
      </c>
      <c r="G1196" s="22" t="s">
        <v>860</v>
      </c>
      <c r="H1196" s="22" t="s">
        <v>75</v>
      </c>
      <c r="I1196" s="22" t="s">
        <v>71</v>
      </c>
      <c r="J1196" s="22" t="s">
        <v>4334</v>
      </c>
      <c r="K1196" s="22">
        <v>4</v>
      </c>
      <c r="L1196" s="22" t="s">
        <v>82</v>
      </c>
      <c r="M1196" s="22" t="s">
        <v>86</v>
      </c>
      <c r="N1196" s="24">
        <v>568.32000000000005</v>
      </c>
      <c r="O1196" s="22">
        <f>YEAR(B1196)</f>
        <v>2023</v>
      </c>
      <c r="P1196" s="25">
        <f>DATE(YEAR(B1196),MONTH(B1196),1)</f>
        <v>45231</v>
      </c>
      <c r="Q1196" s="22" t="str">
        <f>IF(N1196&gt;Summary!$C$17,"Outlier","")</f>
        <v/>
      </c>
      <c r="R1196" s="22" t="str">
        <f>IF(L1196="","None",L1196)</f>
        <v>FREESHIP</v>
      </c>
    </row>
    <row r="1197" spans="1:18" x14ac:dyDescent="0.2">
      <c r="A1197" s="22" t="s">
        <v>4335</v>
      </c>
      <c r="B1197" s="23">
        <v>45463</v>
      </c>
      <c r="C1197" s="22" t="s">
        <v>4336</v>
      </c>
      <c r="D1197" s="22" t="s">
        <v>66</v>
      </c>
      <c r="E1197" s="22">
        <v>1</v>
      </c>
      <c r="F1197" s="24">
        <v>107.04</v>
      </c>
      <c r="G1197" s="22" t="s">
        <v>4337</v>
      </c>
      <c r="H1197" s="22" t="s">
        <v>76</v>
      </c>
      <c r="I1197" s="22" t="s">
        <v>73</v>
      </c>
      <c r="J1197" s="22" t="s">
        <v>4338</v>
      </c>
      <c r="K1197" s="22">
        <v>6</v>
      </c>
      <c r="L1197" s="22" t="s">
        <v>82</v>
      </c>
      <c r="M1197" s="22" t="s">
        <v>88</v>
      </c>
      <c r="N1197" s="24">
        <v>107.04</v>
      </c>
      <c r="O1197" s="22">
        <f>YEAR(B1197)</f>
        <v>2024</v>
      </c>
      <c r="P1197" s="25">
        <f>DATE(YEAR(B1197),MONTH(B1197),1)</f>
        <v>45444</v>
      </c>
      <c r="Q1197" s="22" t="str">
        <f>IF(N1197&gt;Summary!$C$17,"Outlier","")</f>
        <v/>
      </c>
      <c r="R1197" s="22" t="str">
        <f>IF(L1197="","None",L1197)</f>
        <v>FREESHIP</v>
      </c>
    </row>
    <row r="1198" spans="1:18" x14ac:dyDescent="0.2">
      <c r="A1198" s="22" t="s">
        <v>4339</v>
      </c>
      <c r="B1198" s="23">
        <v>45355</v>
      </c>
      <c r="C1198" s="22" t="s">
        <v>4340</v>
      </c>
      <c r="D1198" s="22" t="s">
        <v>65</v>
      </c>
      <c r="E1198" s="22">
        <v>2</v>
      </c>
      <c r="F1198" s="24">
        <v>662.53</v>
      </c>
      <c r="G1198" s="22" t="s">
        <v>1624</v>
      </c>
      <c r="H1198" s="22" t="s">
        <v>79</v>
      </c>
      <c r="I1198" s="22" t="s">
        <v>73</v>
      </c>
      <c r="J1198" s="22" t="s">
        <v>4341</v>
      </c>
      <c r="K1198" s="22">
        <v>5</v>
      </c>
      <c r="L1198" s="22"/>
      <c r="M1198" s="22" t="s">
        <v>87</v>
      </c>
      <c r="N1198" s="24">
        <v>1325.06</v>
      </c>
      <c r="O1198" s="22">
        <f>YEAR(B1198)</f>
        <v>2024</v>
      </c>
      <c r="P1198" s="25">
        <f>DATE(YEAR(B1198),MONTH(B1198),1)</f>
        <v>45352</v>
      </c>
      <c r="Q1198" s="22" t="str">
        <f>IF(N1198&gt;Summary!$C$17,"Outlier","")</f>
        <v/>
      </c>
      <c r="R1198" s="22" t="str">
        <f>IF(L1198="","None",L1198)</f>
        <v>None</v>
      </c>
    </row>
    <row r="1199" spans="1:18" x14ac:dyDescent="0.2">
      <c r="A1199" s="22" t="s">
        <v>4342</v>
      </c>
      <c r="B1199" s="23">
        <v>45120</v>
      </c>
      <c r="C1199" s="22" t="s">
        <v>4343</v>
      </c>
      <c r="D1199" s="22" t="s">
        <v>64</v>
      </c>
      <c r="E1199" s="22">
        <v>2</v>
      </c>
      <c r="F1199" s="24">
        <v>436.84</v>
      </c>
      <c r="G1199" s="22" t="s">
        <v>131</v>
      </c>
      <c r="H1199" s="22" t="s">
        <v>79</v>
      </c>
      <c r="I1199" s="22" t="s">
        <v>69</v>
      </c>
      <c r="J1199" s="22" t="s">
        <v>4344</v>
      </c>
      <c r="K1199" s="22">
        <v>2</v>
      </c>
      <c r="L1199" s="22" t="s">
        <v>82</v>
      </c>
      <c r="M1199" s="22" t="s">
        <v>89</v>
      </c>
      <c r="N1199" s="24">
        <v>873.68</v>
      </c>
      <c r="O1199" s="22">
        <f>YEAR(B1199)</f>
        <v>2023</v>
      </c>
      <c r="P1199" s="25">
        <f>DATE(YEAR(B1199),MONTH(B1199),1)</f>
        <v>45108</v>
      </c>
      <c r="Q1199" s="22" t="str">
        <f>IF(N1199&gt;Summary!$C$17,"Outlier","")</f>
        <v/>
      </c>
      <c r="R1199" s="22" t="str">
        <f>IF(L1199="","None",L1199)</f>
        <v>FREESHIP</v>
      </c>
    </row>
    <row r="1200" spans="1:18" x14ac:dyDescent="0.2">
      <c r="A1200" s="22" t="s">
        <v>4345</v>
      </c>
      <c r="B1200" s="23">
        <v>45526</v>
      </c>
      <c r="C1200" s="22" t="s">
        <v>4346</v>
      </c>
      <c r="D1200" s="22" t="s">
        <v>61</v>
      </c>
      <c r="E1200" s="22">
        <v>4</v>
      </c>
      <c r="F1200" s="24">
        <v>262.52</v>
      </c>
      <c r="G1200" s="22" t="s">
        <v>4347</v>
      </c>
      <c r="H1200" s="22" t="s">
        <v>77</v>
      </c>
      <c r="I1200" s="22" t="s">
        <v>73</v>
      </c>
      <c r="J1200" s="22" t="s">
        <v>4348</v>
      </c>
      <c r="K1200" s="22">
        <v>4</v>
      </c>
      <c r="L1200" s="22" t="s">
        <v>84</v>
      </c>
      <c r="M1200" s="22" t="s">
        <v>89</v>
      </c>
      <c r="N1200" s="24">
        <v>1050.08</v>
      </c>
      <c r="O1200" s="22">
        <f>YEAR(B1200)</f>
        <v>2024</v>
      </c>
      <c r="P1200" s="25">
        <f>DATE(YEAR(B1200),MONTH(B1200),1)</f>
        <v>45505</v>
      </c>
      <c r="Q1200" s="22" t="str">
        <f>IF(N1200&gt;Summary!$C$17,"Outlier","")</f>
        <v/>
      </c>
      <c r="R1200" s="22" t="str">
        <f>IF(L1200="","None",L1200)</f>
        <v>WINTER15</v>
      </c>
    </row>
    <row r="1201" spans="1:18" x14ac:dyDescent="0.2">
      <c r="A1201" s="22" t="s">
        <v>4349</v>
      </c>
      <c r="B1201" s="23">
        <v>45088</v>
      </c>
      <c r="C1201" s="22" t="s">
        <v>4350</v>
      </c>
      <c r="D1201" s="22" t="s">
        <v>64</v>
      </c>
      <c r="E1201" s="22">
        <v>4</v>
      </c>
      <c r="F1201" s="24">
        <v>560.58000000000004</v>
      </c>
      <c r="G1201" s="22" t="s">
        <v>4351</v>
      </c>
      <c r="H1201" s="22" t="s">
        <v>78</v>
      </c>
      <c r="I1201" s="22" t="s">
        <v>72</v>
      </c>
      <c r="J1201" s="22" t="s">
        <v>4352</v>
      </c>
      <c r="K1201" s="22">
        <v>6</v>
      </c>
      <c r="L1201" s="22" t="s">
        <v>83</v>
      </c>
      <c r="M1201" s="22" t="s">
        <v>90</v>
      </c>
      <c r="N1201" s="24">
        <v>2242.3200000000002</v>
      </c>
      <c r="O1201" s="22">
        <f>YEAR(B1201)</f>
        <v>2023</v>
      </c>
      <c r="P1201" s="25">
        <f>DATE(YEAR(B1201),MONTH(B1201),1)</f>
        <v>45078</v>
      </c>
      <c r="Q1201" s="22" t="str">
        <f>IF(N1201&gt;Summary!$C$17,"Outlier","")</f>
        <v/>
      </c>
      <c r="R1201" s="22" t="str">
        <f>IF(L1201="","None",L1201)</f>
        <v>SAVE10</v>
      </c>
    </row>
  </sheetData>
  <autoFilter ref="A1:R120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Trends</vt:lpstr>
      <vt:lpstr>Segments</vt:lpstr>
      <vt:lpstr>Outliers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2026-09-24T16:13:47Z</dcterms:created>
  <dcterms:modified xsi:type="dcterms:W3CDTF">2026-09-24T16:13:50Z</dcterms:modified>
  <dc:language>en-US</dc:language>
</cp:coreProperties>
</file>